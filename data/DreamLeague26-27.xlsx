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888" documentId="8_{7F77C9AC-84BD-45C7-A6BB-B14F0E65C3DD}" xr6:coauthVersionLast="47" xr6:coauthVersionMax="47" xr10:uidLastSave="{01E68061-4D3E-420B-9472-0F5B5C6967FE}"/>
  <bookViews>
    <workbookView xWindow="-110" yWindow="-110" windowWidth="19420" windowHeight="10300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<sst xmlns="http://schemas.openxmlformats.org/spreadsheetml/2006/main" count="845" uniqueCount="425">
  <si>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</si>
  <si>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</si>
  <si>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</si>
  <si>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</si>
  <si>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</si>
  <si>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</si>
  <si>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</si>
  <si>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</si>
  <si>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</si>
  <si>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</si>
  <si>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</si>
  <si>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</si>
  <si>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</si>
  <si>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</si>
  <si>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</si>
  <si>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</si>
  <si>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</si>
  <si>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</si>
  <si>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</si>
  <si>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</si>
  <si>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</si>
  <si>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</si>
  <si>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</si>
  <si>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</si>
  <si>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</si>
  <si>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</si>
  <si>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</si>
  <si>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</si>
  <si>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</si>
  <si>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</si>
  <si>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</si>
  <si>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</si>
  <si>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</si>
  <si>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</si>
  <si>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</si>
  <si>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</si>
  <si>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</si>
  <si>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</si>
  <si>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</si>
  <si>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</si>
  <si>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</si>
  <si>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</si>
  <si>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</si>
  <si>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</si>
  <si>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</si>
  <si>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</si>
  <si>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</si>
  <si>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</si>
  <si>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</si>
  <si>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</si>
  <si>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</si>
  <si>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</si>
  <si>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</si>
  <si>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</si>
  <si>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</si>
  <si>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</si>
  <si>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</si>
  <si>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</si>
  <si>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</si>
  <si>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</si>
  <si>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</si>
  <si>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</si>
  <si>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</si>
  <si>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</si>
  <si>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</si>
  <si>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</si>
  <si>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</si>
  <si>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</si>
  <si>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</si>
  <si>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</si>
  <si>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</si>
  <si>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</si>
  <si>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</si>
  <si>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</si>
  <si>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</si>
  <si>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CHARLTON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</si>
  <si>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</si>
  <si>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</si>
  <si>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</si>
  <si>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</si>
  <si>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</si>
  <si>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</si>
  <si>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</si>
  <si>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</si>
  <si>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</si>
  <si>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</si>
  <si>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</si>
  <si>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</si>
  <si>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</si>
  <si>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</si>
  <si>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</si>
  <si>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</si>
  <si>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</si>
  <si>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</si>
  <si>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</si>
  <si>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</si>
  <si>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</si>
  <si>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</si>
  <si>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</si>
  <si>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</si>
  <si>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</si>
  <si>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</si>
  <si>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</si>
  <si>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</si>
  <si>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</si>
  <si>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</si>
  <si>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</si>
  <si>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</si>
  <si>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</si>
  <si>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</si>
  <si>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</si>
  <si>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</si>
  <si>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</si>
  <si>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</si>
  <si>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</si>
  <si>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</si>
  <si>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</si>
  <si>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</si>
  <si>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</si>
  <si>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</si>
  <si>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</si>
  <si>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</si>
  <si>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</si>
  <si>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</si>
  <si>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</si>
  <si>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</si>
  <si>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</si>
  <si>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</si>
  <si>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</si>
  <si>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</si>
  <si>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</si>
  <si>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</si>
  <si>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</si>
  <si>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</si>
  <si>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</si>
  <si>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</si>
  <si>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</si>
  <si>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</si>
  <si>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</si>
  <si>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</si>
  <si>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</si>
  <si>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</si>
  <si>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</si>
  <si>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</si>
  <si>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</si>
  <si>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</si>
  <si>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</si>
  <si>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</si>
  <si>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</si>
  <si>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</si>
  <si>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</si>
  <si>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</si>
  <si>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</si>
  <si>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</si>
  <si>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</si>
  <si>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</si>
  <si>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</si>
  <si>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</si>
  <si>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</si>
  <si>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</si>
  <si>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</si>
  <si>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</si>
  <si>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</si>
  <si>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</si>
  <si>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</si>
  <si>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</si>
  <si>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</si>
  <si>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</si>
  <si>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</si>
  <si>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</si>
  <si>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</si>
  <si>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</si>
  <si>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</si>
  <si>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</si>
  <si>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</si>
  <si>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</si>
  <si>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</si>
  <si>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</si>
  <si>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</si>
  <si>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</si>
  <si>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</si>
  <si>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</si>
  <si>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</si>
  <si>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</si>
  <si>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</si>
  <si>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</si>
  <si>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</si>
  <si>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</si>
  <si>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</si>
  <si>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</si>
  <si>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</si>
  <si>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</si>
  <si>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</si>
  <si>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</si>
  <si>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</si>
  <si>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</si>
  <si>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</si>
  <si>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</si>
  <si>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</si>
  <si>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</si>
  <si>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</si>
  <si>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</si>
  <si>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</si>
  <si>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</si>
  <si>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</si>
  <si>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</si>
  <si>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</si>
  <si>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</si>
  <si>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</si>
  <si>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</si>
  <si>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</si>
  <si>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</si>
  <si>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</si>
  <si>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</si>
  <si>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</si>
  <si>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</si>
  <si>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</si>
  <si>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</si>
  <si>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</si>
  <si>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</si>
  <si>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</si>
  <si>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</si>
  <si>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</si>
  <si>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</si>
  <si>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</si>
  <si>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</si>
  <si>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</si>
  <si>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</si>
  <si>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</si>
  <si>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</si>
  <si>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</si>
  <si>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</si>
  <si>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</si>
  <si>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</si>
  <si>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</si>
  <si>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</si>
  <si>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</si>
  <si>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</si>
  <si>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</si>
  <si>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</si>
  <si>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</si>
  <si>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</si>
  <si>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</si>
  <si>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</si>
  <si>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</si>
  <si>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</si>
  <si>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</si>
  <si>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</si>
  <si>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</si>
  <si>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</si>
  <si>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</si>
  <si>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</si>
  <si>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</si>
  <si>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</si>
  <si>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</si>
  <si>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</si>
  <si>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</si>
  <si>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</si>
  <si>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</si>
  <si>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</si>
  <si>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</si>
  <si>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</si>
  <si>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</si>
  <si>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</si>
  <si>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</si>
  <si>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</si>
  <si>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</si>
  <si>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</si>
  <si>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</si>
  <si>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</si>
  <si>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</si>
  <si>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</si>
  <si>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</si>
  <si>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</si>
  <si>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</si>
  <si>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</si>
  <si>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</si>
  <si>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</si>
  <si>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</si>
  <si>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</si>
  <si>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</si>
  <si>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</si>
  <si>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BURNLEY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</si>
  <si>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</si>
  <si>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</si>
  <si>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</si>
  <si>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</si>
  <si>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</si>
  <si>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</si>
  <si>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</si>
  <si>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</si>
  <si>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</si>
  <si>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</si>
  <si>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</si>
  <si>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</si>
  <si>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</si>
  <si>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</si>
  <si>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</si>
  <si>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</si>
  <si>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</si>
  <si>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</si>
  <si>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</si>
  <si>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</si>
  <si>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</si>
  <si>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</si>
  <si>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EXETER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</si>
  <si>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</si>
  <si>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</si>
  <si>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</si>
  <si>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</si>
  <si>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</si>
  <si>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</si>
  <si>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</si>
  <si>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</si>
  <si>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</si>
  <si>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</si>
  <si>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</si>
  <si>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</si>
  <si>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</si>
  <si>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</si>
  <si>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</si>
  <si>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</si>
  <si>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</si>
  <si>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</si>
  <si>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</si>
  <si>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</si>
  <si>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</si>
  <si>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</si>
  <si>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</si>
  <si>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</si>
  <si>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</si>
  <si>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</si>
  <si>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</si>
  <si>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</si>
  <si>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</si>
  <si>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</si>
  <si>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</si>
  <si>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</si>
  <si>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</si>
  <si>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</si>
  <si>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</si>
  <si>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</si>
  <si>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</si>
  <si>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</si>
  <si>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</si>
  <si>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</si>
  <si>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</si>
  <si>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</si>
  <si>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</si>
  <si>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</si>
  <si>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</si>
  <si>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</si>
  <si>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</si>
  <si>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</si>
  <si>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</si>
  <si>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</si>
  <si>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</si>
  <si>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</si>
  <si>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</si>
  <si>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</si>
  <si>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</si>
  <si>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</si>
  <si>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</si>
  <si>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</si>
  <si>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</si>
  <si>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</si>
  <si>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</si>
  <si>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</si>
  <si>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</si>
  <si>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</si>
  <si>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</si>
  <si>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</si>
  <si>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</si>
  <si>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</si>
  <si>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</si>
  <si>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</si>
  <si>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</si>
  <si>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</si>
  <si>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</si>
  <si>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</si>
  <si>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</si>
  <si>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RENNES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</si>
  <si>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</si>
  <si>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</si>
  <si>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</si>
  <si>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</si>
  <si>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</si>
  <si>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</si>
  <si>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</si>
  <si>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</si>
  <si>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</si>
  <si>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</si>
  <si>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</si>
  <si>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</si>
  <si>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</si>
  <si>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</si>
  <si>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</si>
  <si>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</si>
  <si>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</si>
  <si>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</si>
  <si>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</si>
  <si>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</si>
  <si>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</si>
  <si>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</si>
  <si>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</si>
  <si>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</si>
  <si>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</si>
  <si>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</si>
  <si>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</si>
  <si>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</si>
  <si>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</si>
  <si>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</si>
  <si>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</si>
  <si>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</si>
  <si>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</si>
  <si>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</si>
  <si>
    <t>SAM NOMBE</t>
  </si>
  <si>
    <t>TRANSFER</t>
  </si>
  <si>
    <t>SOLD</t>
  </si>
  <si>
    <t>HUGO EKITIKE</t>
  </si>
  <si>
    <t>SAMMIE SZMODICS</t>
  </si>
  <si>
    <t>JOSH COBURN</t>
  </si>
  <si>
    <t>JOEL PIROE</t>
  </si>
  <si>
    <t>CHRISTOS TZOLIS</t>
  </si>
  <si>
    <t>CYLE LARIN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</si>
</sst>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8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4"/>
      <c r="S4" s="114"/>
      <c r="T4" s="114"/>
      <c r="U4" s="114"/>
      <c r="V4" s="114"/>
    </row>
    <row r="5" spans="1:22" ht="13.4" customHeight="1" x14ac:dyDescent="0.3">
      <c r="A5" s="79"/>
      <c r="B5" s="12" t="s">
        <v>13</v>
      </c>
      <c r="C5" s="13"/>
      <c r="D5" s="12" t="s">
        <v>124</v>
      </c>
      <c r="E5" s="14">
        <v>1</v>
      </c>
      <c r="F5" s="15">
        <v>0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5</v>
      </c>
      <c r="N5" s="19">
        <f>SUM(F8:F25)</f>
        <v>5</v>
      </c>
      <c r="O5" s="20">
        <f>SUM(F5:F7)</f>
        <v>0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2</v>
      </c>
      <c r="N6" s="26">
        <f>SUM(F35:F52)</f>
        <v>2</v>
      </c>
      <c r="O6" s="27">
        <f>SUM(F32:F34)</f>
        <v>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0</v>
      </c>
      <c r="N7" s="26">
        <f>SUM(F62:F79)</f>
        <v>5</v>
      </c>
      <c r="O7" s="27">
        <f>SUM(F59:F61)</f>
        <v>5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345</v>
      </c>
      <c r="D8" s="28" t="s">
        <v>141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4</v>
      </c>
      <c r="N8" s="26">
        <f>SUM(F89:F106)</f>
        <v>4</v>
      </c>
      <c r="O8" s="27">
        <f>SUM(F86:F88)</f>
        <v>0</v>
      </c>
    </row>
    <row r="9" spans="1:22" ht="13.4" customHeight="1" x14ac:dyDescent="0.3">
      <c r="A9" s="79"/>
      <c r="B9" s="28" t="s">
        <v>14</v>
      </c>
      <c r="C9" s="28" t="s">
        <v>346</v>
      </c>
      <c r="D9" s="28" t="s">
        <v>81</v>
      </c>
      <c r="E9" s="29">
        <v>2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-3</v>
      </c>
      <c r="N9" s="73">
        <f>SUM(F116:F133)</f>
        <v>0</v>
      </c>
      <c r="O9" s="74">
        <f>SUM(F113:F115)</f>
        <v>3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7</v>
      </c>
      <c r="N10" s="26">
        <f>SUM(F143:F160)</f>
        <v>7</v>
      </c>
      <c r="O10" s="27">
        <f>SUM(F140:F142)</f>
        <v>0</v>
      </c>
      <c r="R10" s="114"/>
      <c r="S10" s="114"/>
      <c r="T10" s="114"/>
      <c r="U10" s="114"/>
      <c r="V10" s="114"/>
    </row>
    <row r="11" spans="1:22" ht="13.4" customHeight="1" x14ac:dyDescent="0.3">
      <c r="A11" s="79"/>
      <c r="B11" s="28" t="s">
        <v>16</v>
      </c>
      <c r="C11" s="28" t="s">
        <v>274</v>
      </c>
      <c r="D11" s="28" t="s">
        <v>82</v>
      </c>
      <c r="E11" s="29">
        <v>8</v>
      </c>
      <c r="F11" s="30">
        <v>0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-1</v>
      </c>
      <c r="N11" s="26">
        <f>SUM(F170:F187)</f>
        <v>3</v>
      </c>
      <c r="O11" s="27">
        <f>SUM(F167:F169)</f>
        <v>4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292</v>
      </c>
      <c r="D12" s="106" t="s">
        <v>109</v>
      </c>
      <c r="E12" s="107">
        <v>3</v>
      </c>
      <c r="F12" s="108">
        <v>0</v>
      </c>
      <c r="G12" s="87" t="s">
        <v>418</v>
      </c>
      <c r="H12" s="84">
        <v>46261</v>
      </c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-3</v>
      </c>
      <c r="N12" s="73">
        <f>SUM(F197:F214)</f>
        <v>1</v>
      </c>
      <c r="O12" s="74">
        <f>SUM(F194:F196)</f>
        <v>4</v>
      </c>
    </row>
    <row r="13" spans="1:22" ht="13.4" customHeight="1" x14ac:dyDescent="0.3">
      <c r="A13" s="79"/>
      <c r="B13" s="28" t="s">
        <v>16</v>
      </c>
      <c r="C13" s="28" t="s">
        <v>423</v>
      </c>
      <c r="D13" s="28" t="s">
        <v>18</v>
      </c>
      <c r="E13" s="29" t="s">
        <v>417</v>
      </c>
      <c r="F13" s="30">
        <v>0</v>
      </c>
      <c r="G13" s="87">
        <v>46261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</v>
      </c>
      <c r="N13" s="73">
        <f>SUM(F224:F241)</f>
        <v>2</v>
      </c>
      <c r="O13" s="74">
        <f>SUM(F221:F223)</f>
        <v>0</v>
      </c>
      <c r="R13" s="114"/>
      <c r="S13" s="114"/>
      <c r="T13" s="114"/>
      <c r="U13" s="114"/>
      <c r="V13" s="114"/>
    </row>
    <row r="14" spans="1:22" ht="13.4" customHeight="1" x14ac:dyDescent="0.3">
      <c r="A14" s="79"/>
      <c r="B14" s="28" t="s">
        <v>16</v>
      </c>
      <c r="C14" s="28" t="s">
        <v>312</v>
      </c>
      <c r="D14" s="28" t="s">
        <v>31</v>
      </c>
      <c r="E14" s="29">
        <v>6</v>
      </c>
      <c r="F14" s="30">
        <v>1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6</v>
      </c>
      <c r="N14" s="73">
        <f>SUM(F251:F268)</f>
        <v>9</v>
      </c>
      <c r="O14" s="74">
        <f>SUM(F248:F250)</f>
        <v>3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0</v>
      </c>
      <c r="N15" s="26">
        <f>SUM(F278:F295)</f>
        <v>3</v>
      </c>
      <c r="O15" s="27">
        <f>SUM(F275:F277)</f>
        <v>3</v>
      </c>
    </row>
    <row r="16" spans="1:22" ht="13.4" customHeight="1" x14ac:dyDescent="0.3">
      <c r="A16" s="79"/>
      <c r="B16" s="28" t="s">
        <v>17</v>
      </c>
      <c r="C16" s="28" t="s">
        <v>347</v>
      </c>
      <c r="D16" s="28" t="s">
        <v>348</v>
      </c>
      <c r="E16" s="29">
        <v>17</v>
      </c>
      <c r="F16" s="30">
        <v>0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-3</v>
      </c>
      <c r="N16" s="26">
        <f>SUM(F305:F322)</f>
        <v>2</v>
      </c>
      <c r="O16" s="27">
        <f>SUM(F302:F304)</f>
        <v>5</v>
      </c>
    </row>
    <row r="17" spans="1:22" ht="13.4" customHeight="1" x14ac:dyDescent="0.3">
      <c r="A17" s="79"/>
      <c r="B17" s="28" t="s">
        <v>17</v>
      </c>
      <c r="C17" s="28" t="s">
        <v>92</v>
      </c>
      <c r="D17" s="28" t="s">
        <v>19</v>
      </c>
      <c r="E17" s="29">
        <v>28</v>
      </c>
      <c r="F17" s="30">
        <v>0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2</v>
      </c>
      <c r="N17" s="26">
        <f>SUM(F332:F349)</f>
        <v>4</v>
      </c>
      <c r="O17" s="27">
        <f>SUM(F329:F331)</f>
        <v>2</v>
      </c>
      <c r="R17" s="114"/>
      <c r="S17" s="114"/>
      <c r="T17" s="114"/>
      <c r="U17" s="114"/>
      <c r="V17" s="114"/>
    </row>
    <row r="18" spans="1:22" ht="13.4" customHeight="1" thickBot="1" x14ac:dyDescent="0.35">
      <c r="A18" s="79"/>
      <c r="B18" s="28" t="s">
        <v>17</v>
      </c>
      <c r="C18" s="28" t="s">
        <v>315</v>
      </c>
      <c r="D18" s="28" t="s">
        <v>90</v>
      </c>
      <c r="E18" s="29">
        <v>1</v>
      </c>
      <c r="F18" s="30">
        <v>1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0</v>
      </c>
      <c r="N18" s="26">
        <f>SUM(F359:F376)</f>
        <v>1</v>
      </c>
      <c r="O18" s="27">
        <f>SUM(F356:F358)</f>
        <v>1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349</v>
      </c>
      <c r="D19" s="28" t="s">
        <v>57</v>
      </c>
      <c r="E19" s="29">
        <v>19</v>
      </c>
      <c r="F19" s="30">
        <v>3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6" t="s">
        <v>17</v>
      </c>
      <c r="C20" s="106" t="s">
        <v>96</v>
      </c>
      <c r="D20" s="106" t="s">
        <v>94</v>
      </c>
      <c r="E20" s="107">
        <v>8</v>
      </c>
      <c r="F20" s="108">
        <v>0</v>
      </c>
      <c r="G20" s="87" t="s">
        <v>418</v>
      </c>
      <c r="H20" s="84">
        <v>46261</v>
      </c>
      <c r="I20" s="99"/>
      <c r="J20" s="76"/>
      <c r="K20" s="1"/>
      <c r="L20" s="1"/>
      <c r="M20" s="1"/>
      <c r="N20" s="1"/>
      <c r="O20" s="1"/>
      <c r="R20" s="114"/>
      <c r="S20" s="114"/>
      <c r="T20" s="114"/>
      <c r="U20" s="114"/>
      <c r="V20" s="114"/>
    </row>
    <row r="21" spans="1:22" ht="13.4" customHeight="1" x14ac:dyDescent="0.3">
      <c r="A21" s="79"/>
      <c r="B21" s="28" t="s">
        <v>17</v>
      </c>
      <c r="C21" s="28" t="s">
        <v>424</v>
      </c>
      <c r="D21" s="28" t="s">
        <v>132</v>
      </c>
      <c r="E21" s="29" t="s">
        <v>417</v>
      </c>
      <c r="F21" s="30">
        <v>0</v>
      </c>
      <c r="G21" s="87">
        <v>46261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4"/>
      <c r="S24" s="114"/>
      <c r="T24" s="114"/>
      <c r="U24" s="114"/>
      <c r="V24" s="114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5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4"/>
      <c r="S28" s="114"/>
      <c r="T28" s="114"/>
      <c r="U28" s="114"/>
      <c r="V28" s="114"/>
    </row>
    <row r="29" spans="1:22" ht="13.4" customHeight="1" x14ac:dyDescent="0.3">
      <c r="A29" s="1"/>
      <c r="B29" s="1"/>
      <c r="C29" s="3" t="s">
        <v>266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353</v>
      </c>
      <c r="D35" s="28" t="s">
        <v>132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354</v>
      </c>
      <c r="D36" s="28" t="s">
        <v>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115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4"/>
      <c r="S38" s="114"/>
      <c r="T38" s="114"/>
      <c r="U38" s="114"/>
      <c r="V38" s="114"/>
    </row>
    <row r="39" spans="1:22" ht="13.4" customHeight="1" x14ac:dyDescent="0.3">
      <c r="A39" s="79"/>
      <c r="B39" s="28" t="s">
        <v>16</v>
      </c>
      <c r="C39" s="28" t="s">
        <v>320</v>
      </c>
      <c r="D39" s="28" t="s">
        <v>82</v>
      </c>
      <c r="E39" s="29">
        <v>11</v>
      </c>
      <c r="F39" s="30">
        <v>0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1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77</v>
      </c>
      <c r="D43" s="28" t="s">
        <v>82</v>
      </c>
      <c r="E43" s="29">
        <v>1</v>
      </c>
      <c r="F43" s="30">
        <v>1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316</v>
      </c>
      <c r="D44" s="28" t="s">
        <v>162</v>
      </c>
      <c r="E44" s="29">
        <v>7</v>
      </c>
      <c r="F44" s="30">
        <v>0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134</v>
      </c>
      <c r="D45" s="28" t="s">
        <v>70</v>
      </c>
      <c r="E45" s="29">
        <v>1</v>
      </c>
      <c r="F45" s="30">
        <v>0</v>
      </c>
      <c r="G45" s="87"/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287</v>
      </c>
      <c r="D46" s="28" t="s">
        <v>90</v>
      </c>
      <c r="E46" s="29">
        <v>13</v>
      </c>
      <c r="F46" s="30">
        <v>0</v>
      </c>
      <c r="G46" s="91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160</v>
      </c>
      <c r="D47" s="28" t="s">
        <v>355</v>
      </c>
      <c r="E47" s="29">
        <v>2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106"/>
      <c r="C48" s="106"/>
      <c r="D48" s="106"/>
      <c r="E48" s="107"/>
      <c r="F48" s="108"/>
      <c r="G48" s="91"/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126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164</v>
      </c>
      <c r="E59" s="14">
        <v>5</v>
      </c>
      <c r="F59" s="15">
        <v>5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137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97</v>
      </c>
      <c r="D63" s="28" t="s">
        <v>22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114</v>
      </c>
      <c r="D65" s="28" t="s">
        <v>132</v>
      </c>
      <c r="E65" s="29">
        <v>10</v>
      </c>
      <c r="F65" s="30">
        <v>0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28</v>
      </c>
      <c r="D66" s="28" t="s">
        <v>59</v>
      </c>
      <c r="E66" s="29">
        <v>17</v>
      </c>
      <c r="F66" s="30">
        <v>0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28" t="s">
        <v>356</v>
      </c>
      <c r="D67" s="28" t="s">
        <v>58</v>
      </c>
      <c r="E67" s="29">
        <v>1</v>
      </c>
      <c r="F67" s="30">
        <v>0</v>
      </c>
      <c r="G67" s="87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/>
      <c r="C68" s="28"/>
      <c r="D68" s="28"/>
      <c r="E68" s="29"/>
      <c r="F68" s="30"/>
      <c r="G68" s="91"/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111</v>
      </c>
      <c r="D70" s="28" t="s">
        <v>19</v>
      </c>
      <c r="E70" s="29">
        <v>1</v>
      </c>
      <c r="F70" s="30">
        <v>0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138</v>
      </c>
      <c r="D71" s="28" t="s">
        <v>59</v>
      </c>
      <c r="E71" s="29">
        <v>23</v>
      </c>
      <c r="F71" s="30">
        <v>0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2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357</v>
      </c>
      <c r="D73" s="28" t="s">
        <v>53</v>
      </c>
      <c r="E73" s="29">
        <v>1</v>
      </c>
      <c r="F73" s="30">
        <v>2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358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0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110</v>
      </c>
      <c r="E86" s="14">
        <v>4</v>
      </c>
      <c r="F86" s="15">
        <v>0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318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359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107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28" t="s">
        <v>16</v>
      </c>
      <c r="C93" s="28" t="s">
        <v>99</v>
      </c>
      <c r="D93" s="28" t="s">
        <v>362</v>
      </c>
      <c r="E93" s="29">
        <v>1</v>
      </c>
      <c r="F93" s="30">
        <v>0</v>
      </c>
      <c r="G93" s="91"/>
      <c r="H93" s="91"/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144</v>
      </c>
      <c r="D94" s="28" t="s">
        <v>18</v>
      </c>
      <c r="E94" s="29">
        <v>10</v>
      </c>
      <c r="F94" s="30">
        <v>1</v>
      </c>
      <c r="G94" s="91"/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/>
      <c r="C95" s="28"/>
      <c r="D95" s="28"/>
      <c r="E95" s="29"/>
      <c r="F95" s="30"/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286</v>
      </c>
      <c r="D97" s="28" t="s">
        <v>75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289</v>
      </c>
      <c r="D98" s="28" t="s">
        <v>290</v>
      </c>
      <c r="E98" s="29">
        <v>7</v>
      </c>
      <c r="F98" s="30">
        <v>2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419</v>
      </c>
      <c r="D99" s="106" t="s">
        <v>31</v>
      </c>
      <c r="E99" s="107">
        <v>10</v>
      </c>
      <c r="F99" s="108">
        <v>0</v>
      </c>
      <c r="G99" s="87" t="s">
        <v>418</v>
      </c>
      <c r="H99" s="91">
        <v>46247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416</v>
      </c>
      <c r="D100" s="28" t="s">
        <v>98</v>
      </c>
      <c r="E100" s="29" t="s">
        <v>417</v>
      </c>
      <c r="F100" s="30">
        <v>0</v>
      </c>
      <c r="G100" s="87">
        <v>46247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360</v>
      </c>
      <c r="D101" s="106" t="s">
        <v>116</v>
      </c>
      <c r="E101" s="107">
        <v>1</v>
      </c>
      <c r="F101" s="108">
        <v>0</v>
      </c>
      <c r="G101" s="87" t="s">
        <v>418</v>
      </c>
      <c r="H101" s="91">
        <v>46254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422</v>
      </c>
      <c r="D102" s="28" t="s">
        <v>53</v>
      </c>
      <c r="E102" s="29" t="s">
        <v>417</v>
      </c>
      <c r="F102" s="30">
        <v>1</v>
      </c>
      <c r="G102" s="87">
        <v>46254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361</v>
      </c>
      <c r="D103" s="28" t="s">
        <v>109</v>
      </c>
      <c r="E103" s="29">
        <v>48</v>
      </c>
      <c r="F103" s="30">
        <v>0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4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127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3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364</v>
      </c>
      <c r="D116" s="28" t="s">
        <v>129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365</v>
      </c>
      <c r="D117" s="28" t="s">
        <v>366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89</v>
      </c>
      <c r="D119" s="28" t="s">
        <v>109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363</v>
      </c>
      <c r="D120" s="28" t="s">
        <v>120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28" t="s">
        <v>16</v>
      </c>
      <c r="C121" s="28" t="s">
        <v>117</v>
      </c>
      <c r="D121" s="28" t="s">
        <v>294</v>
      </c>
      <c r="E121" s="29">
        <v>1</v>
      </c>
      <c r="F121" s="30">
        <v>0</v>
      </c>
      <c r="G121" s="86"/>
      <c r="H121" s="94"/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/>
      <c r="C122" s="28"/>
      <c r="D122" s="28"/>
      <c r="E122" s="29"/>
      <c r="F122" s="30"/>
      <c r="G122" s="87"/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123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64</v>
      </c>
      <c r="D125" s="28" t="s">
        <v>26</v>
      </c>
      <c r="E125" s="29">
        <v>38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270</v>
      </c>
      <c r="D126" s="28" t="s">
        <v>98</v>
      </c>
      <c r="E126" s="29">
        <v>20</v>
      </c>
      <c r="F126" s="30">
        <v>0</v>
      </c>
      <c r="G126" s="87"/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112</v>
      </c>
      <c r="D127" s="28" t="s">
        <v>204</v>
      </c>
      <c r="E127" s="29">
        <v>1</v>
      </c>
      <c r="F127" s="30">
        <v>0</v>
      </c>
      <c r="G127" s="87"/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367</v>
      </c>
      <c r="D128" s="28" t="s">
        <v>268</v>
      </c>
      <c r="E128" s="29">
        <v>1</v>
      </c>
      <c r="F128" s="30">
        <v>0</v>
      </c>
      <c r="G128" s="87"/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/>
      <c r="C129" s="106"/>
      <c r="D129" s="106"/>
      <c r="E129" s="107"/>
      <c r="F129" s="108"/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/>
      <c r="C130" s="28"/>
      <c r="D130" s="28"/>
      <c r="E130" s="29"/>
      <c r="F130" s="30"/>
      <c r="G130" s="87"/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106"/>
      <c r="C131" s="106"/>
      <c r="D131" s="106"/>
      <c r="E131" s="107"/>
      <c r="F131" s="108"/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-3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0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284</v>
      </c>
      <c r="D143" s="28" t="s">
        <v>109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368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369</v>
      </c>
      <c r="D146" s="28" t="s">
        <v>415</v>
      </c>
      <c r="E146" s="29">
        <v>1</v>
      </c>
      <c r="F146" s="30">
        <v>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105</v>
      </c>
      <c r="D147" s="28" t="s">
        <v>355</v>
      </c>
      <c r="E147" s="29">
        <v>6</v>
      </c>
      <c r="F147" s="30">
        <v>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370</v>
      </c>
      <c r="D148" s="28" t="s">
        <v>81</v>
      </c>
      <c r="E148" s="29">
        <v>2</v>
      </c>
      <c r="F148" s="30">
        <v>3</v>
      </c>
      <c r="G148" s="87"/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/>
      <c r="C149" s="28"/>
      <c r="D149" s="28"/>
      <c r="E149" s="29"/>
      <c r="F149" s="30"/>
      <c r="G149" s="87"/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295</v>
      </c>
      <c r="D151" s="28" t="s">
        <v>71</v>
      </c>
      <c r="E151" s="29">
        <v>1</v>
      </c>
      <c r="F151" s="30">
        <v>1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163</v>
      </c>
      <c r="D152" s="28" t="s">
        <v>59</v>
      </c>
      <c r="E152" s="29">
        <v>33</v>
      </c>
      <c r="F152" s="30">
        <v>0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309</v>
      </c>
      <c r="D153" s="28" t="s">
        <v>20</v>
      </c>
      <c r="E153" s="29">
        <v>13</v>
      </c>
      <c r="F153" s="30">
        <v>1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161</v>
      </c>
      <c r="D154" s="28" t="s">
        <v>81</v>
      </c>
      <c r="E154" s="29">
        <v>25</v>
      </c>
      <c r="F154" s="30">
        <v>1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28" t="s">
        <v>17</v>
      </c>
      <c r="C155" s="28" t="s">
        <v>371</v>
      </c>
      <c r="D155" s="28" t="s">
        <v>204</v>
      </c>
      <c r="E155" s="29">
        <v>10</v>
      </c>
      <c r="F155" s="30">
        <v>0</v>
      </c>
      <c r="G155" s="87"/>
      <c r="H155" s="91"/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/>
      <c r="C156" s="106"/>
      <c r="D156" s="106"/>
      <c r="E156" s="107"/>
      <c r="F156" s="108"/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/>
      <c r="C157" s="28"/>
      <c r="D157" s="28"/>
      <c r="E157" s="29"/>
      <c r="F157" s="30"/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7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3"/>
      <c r="D167" s="12" t="s">
        <v>22</v>
      </c>
      <c r="E167" s="14">
        <v>4</v>
      </c>
      <c r="F167" s="15">
        <v>4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372</v>
      </c>
      <c r="D170" s="28" t="s">
        <v>362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122</v>
      </c>
      <c r="D171" s="28" t="s">
        <v>70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373</v>
      </c>
      <c r="D173" s="28" t="s">
        <v>128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119</v>
      </c>
      <c r="D174" s="28" t="s">
        <v>19</v>
      </c>
      <c r="E174" s="29">
        <v>12</v>
      </c>
      <c r="F174" s="30">
        <v>0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28" t="s">
        <v>136</v>
      </c>
      <c r="D175" s="28" t="s">
        <v>22</v>
      </c>
      <c r="E175" s="29">
        <v>8</v>
      </c>
      <c r="F175" s="30">
        <v>0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275</v>
      </c>
      <c r="D178" s="28" t="s">
        <v>102</v>
      </c>
      <c r="E178" s="29">
        <v>23</v>
      </c>
      <c r="F178" s="30">
        <v>0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307</v>
      </c>
      <c r="D179" s="28" t="s">
        <v>305</v>
      </c>
      <c r="E179" s="29">
        <v>24</v>
      </c>
      <c r="F179" s="30">
        <v>0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279</v>
      </c>
      <c r="D180" s="28" t="s">
        <v>120</v>
      </c>
      <c r="E180" s="29">
        <v>7</v>
      </c>
      <c r="F180" s="30">
        <v>3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125</v>
      </c>
      <c r="D181" s="28" t="s">
        <v>116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374</v>
      </c>
      <c r="D182" s="28" t="s">
        <v>366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-1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403</v>
      </c>
      <c r="D191" s="3" t="s">
        <v>343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141</v>
      </c>
      <c r="E194" s="14">
        <v>1</v>
      </c>
      <c r="F194" s="15">
        <v>4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319</v>
      </c>
      <c r="D197" s="28" t="s">
        <v>132</v>
      </c>
      <c r="E197" s="29">
        <v>3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375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159</v>
      </c>
      <c r="D200" s="28" t="s">
        <v>113</v>
      </c>
      <c r="E200" s="29">
        <v>10</v>
      </c>
      <c r="F200" s="30">
        <v>0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321</v>
      </c>
      <c r="D201" s="28" t="s">
        <v>34</v>
      </c>
      <c r="E201" s="29">
        <v>4</v>
      </c>
      <c r="F201" s="30">
        <v>0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139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106" t="s">
        <v>17</v>
      </c>
      <c r="C205" s="106" t="s">
        <v>85</v>
      </c>
      <c r="D205" s="106" t="s">
        <v>79</v>
      </c>
      <c r="E205" s="107">
        <v>3</v>
      </c>
      <c r="F205" s="108">
        <v>0</v>
      </c>
      <c r="G205" s="83" t="s">
        <v>418</v>
      </c>
      <c r="H205" s="91">
        <v>46254</v>
      </c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420</v>
      </c>
      <c r="D206" s="28" t="s">
        <v>62</v>
      </c>
      <c r="E206" s="29" t="s">
        <v>417</v>
      </c>
      <c r="F206" s="30">
        <v>0</v>
      </c>
      <c r="G206" s="87">
        <v>46254</v>
      </c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145</v>
      </c>
      <c r="D207" s="28" t="s">
        <v>74</v>
      </c>
      <c r="E207" s="29">
        <v>10</v>
      </c>
      <c r="F207" s="30">
        <v>0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288</v>
      </c>
      <c r="D208" s="28" t="s">
        <v>63</v>
      </c>
      <c r="E208" s="29">
        <v>5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78</v>
      </c>
      <c r="D209" s="28" t="s">
        <v>31</v>
      </c>
      <c r="E209" s="29">
        <v>49</v>
      </c>
      <c r="F209" s="30">
        <v>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313</v>
      </c>
      <c r="D210" s="28" t="s">
        <v>58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-3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158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0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376</v>
      </c>
      <c r="D224" s="28" t="s">
        <v>414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377</v>
      </c>
      <c r="D225" s="28" t="s">
        <v>268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306</v>
      </c>
      <c r="D227" s="28" t="s">
        <v>101</v>
      </c>
      <c r="E227" s="29">
        <v>1</v>
      </c>
      <c r="F227" s="30">
        <v>1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130</v>
      </c>
      <c r="D228" s="28" t="s">
        <v>69</v>
      </c>
      <c r="E228" s="29">
        <v>1</v>
      </c>
      <c r="F228" s="30">
        <v>0</v>
      </c>
      <c r="G228" s="87"/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285</v>
      </c>
      <c r="D229" s="28" t="s">
        <v>57</v>
      </c>
      <c r="E229" s="29">
        <v>6</v>
      </c>
      <c r="F229" s="30">
        <v>0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28"/>
      <c r="C230" s="28"/>
      <c r="D230" s="28"/>
      <c r="E230" s="29"/>
      <c r="F230" s="30"/>
      <c r="G230" s="87"/>
      <c r="H230" s="91"/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/>
      <c r="C231" s="28"/>
      <c r="D231" s="28"/>
      <c r="E231" s="29"/>
      <c r="F231" s="30"/>
      <c r="G231" s="87"/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283</v>
      </c>
      <c r="D232" s="28" t="s">
        <v>23</v>
      </c>
      <c r="E232" s="29">
        <v>11</v>
      </c>
      <c r="F232" s="30">
        <v>0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264</v>
      </c>
      <c r="D233" s="28" t="s">
        <v>162</v>
      </c>
      <c r="E233" s="29">
        <v>19</v>
      </c>
      <c r="F233" s="30">
        <v>0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133</v>
      </c>
      <c r="D234" s="28" t="s">
        <v>18</v>
      </c>
      <c r="E234" s="29">
        <v>34</v>
      </c>
      <c r="F234" s="30">
        <v>0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276</v>
      </c>
      <c r="D235" s="28" t="s">
        <v>277</v>
      </c>
      <c r="E235" s="29">
        <v>5</v>
      </c>
      <c r="F235" s="30">
        <v>0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378</v>
      </c>
      <c r="D236" s="28" t="s">
        <v>124</v>
      </c>
      <c r="E236" s="29">
        <v>13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/>
      <c r="C237" s="106"/>
      <c r="D237" s="106"/>
      <c r="E237" s="107"/>
      <c r="F237" s="108"/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2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135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2" t="s">
        <v>13</v>
      </c>
      <c r="C248" s="13"/>
      <c r="D248" s="12" t="s">
        <v>57</v>
      </c>
      <c r="E248" s="14">
        <v>1</v>
      </c>
      <c r="F248" s="15">
        <v>3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379</v>
      </c>
      <c r="D251" s="28" t="s">
        <v>22</v>
      </c>
      <c r="E251" s="29">
        <v>2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380</v>
      </c>
      <c r="D254" s="28" t="s">
        <v>282</v>
      </c>
      <c r="E254" s="29">
        <v>16</v>
      </c>
      <c r="F254" s="30">
        <v>3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304</v>
      </c>
      <c r="D255" s="28" t="s">
        <v>73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293</v>
      </c>
      <c r="D256" s="28" t="s">
        <v>381</v>
      </c>
      <c r="E256" s="29">
        <v>1</v>
      </c>
      <c r="F256" s="30">
        <v>0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273</v>
      </c>
      <c r="D259" s="28" t="s">
        <v>118</v>
      </c>
      <c r="E259" s="29">
        <v>14</v>
      </c>
      <c r="F259" s="30">
        <v>1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281</v>
      </c>
      <c r="D260" s="28" t="s">
        <v>74</v>
      </c>
      <c r="E260" s="29">
        <v>22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100</v>
      </c>
      <c r="D261" s="28" t="s">
        <v>81</v>
      </c>
      <c r="E261" s="29">
        <v>33</v>
      </c>
      <c r="F261" s="30">
        <v>2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265</v>
      </c>
      <c r="D262" s="28" t="s">
        <v>62</v>
      </c>
      <c r="E262" s="29">
        <v>3</v>
      </c>
      <c r="F262" s="30">
        <v>1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84</v>
      </c>
      <c r="D263" s="28" t="s">
        <v>59</v>
      </c>
      <c r="E263" s="29">
        <v>1</v>
      </c>
      <c r="F263" s="30">
        <v>0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6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106</v>
      </c>
      <c r="D272" s="1" t="s">
        <v>93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294</v>
      </c>
      <c r="E275" s="14">
        <v>1</v>
      </c>
      <c r="F275" s="15">
        <v>3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404</v>
      </c>
      <c r="D278" s="28" t="s">
        <v>294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413</v>
      </c>
      <c r="D279" s="28" t="s">
        <v>104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405</v>
      </c>
      <c r="D281" s="28" t="s">
        <v>19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406</v>
      </c>
      <c r="D282" s="28" t="s">
        <v>294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407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28" t="s">
        <v>91</v>
      </c>
      <c r="D286" s="28" t="s">
        <v>31</v>
      </c>
      <c r="E286" s="29">
        <v>1</v>
      </c>
      <c r="F286" s="30">
        <v>1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408</v>
      </c>
      <c r="D287" s="28" t="s">
        <v>102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121</v>
      </c>
      <c r="D288" s="28" t="s">
        <v>72</v>
      </c>
      <c r="E288" s="29">
        <v>1</v>
      </c>
      <c r="F288" s="30">
        <v>1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322</v>
      </c>
      <c r="D289" s="28" t="s">
        <v>113</v>
      </c>
      <c r="E289" s="29">
        <v>1</v>
      </c>
      <c r="F289" s="30">
        <v>0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108</v>
      </c>
      <c r="D290" s="28" t="s">
        <v>104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0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140</v>
      </c>
      <c r="D299" s="1" t="s">
        <v>80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2" t="s">
        <v>13</v>
      </c>
      <c r="C302" s="13"/>
      <c r="D302" s="12" t="s">
        <v>53</v>
      </c>
      <c r="E302" s="14">
        <v>1</v>
      </c>
      <c r="F302" s="15">
        <v>5</v>
      </c>
      <c r="G302" s="80"/>
      <c r="H302" s="91"/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21"/>
      <c r="C303" s="21"/>
      <c r="D303" s="21"/>
      <c r="E303" s="22"/>
      <c r="F303" s="21"/>
      <c r="G303" s="87"/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103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409</v>
      </c>
      <c r="D306" s="28" t="s">
        <v>162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382</v>
      </c>
      <c r="D308" s="28" t="s">
        <v>95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383</v>
      </c>
      <c r="D309" s="28" t="s">
        <v>132</v>
      </c>
      <c r="E309" s="29">
        <v>1</v>
      </c>
      <c r="F309" s="30">
        <v>0</v>
      </c>
      <c r="G309" s="87"/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384</v>
      </c>
      <c r="D310" s="77" t="s">
        <v>268</v>
      </c>
      <c r="E310" s="29">
        <v>1</v>
      </c>
      <c r="F310" s="30">
        <v>0</v>
      </c>
      <c r="G310" s="87"/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/>
      <c r="C311" s="28"/>
      <c r="D311" s="28"/>
      <c r="E311" s="29"/>
      <c r="F311" s="30"/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0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385</v>
      </c>
      <c r="D314" s="28" t="s">
        <v>294</v>
      </c>
      <c r="E314" s="29">
        <v>1</v>
      </c>
      <c r="F314" s="30">
        <v>0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291</v>
      </c>
      <c r="D315" s="28" t="s">
        <v>20</v>
      </c>
      <c r="E315" s="29">
        <v>1</v>
      </c>
      <c r="F315" s="30">
        <v>0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323</v>
      </c>
      <c r="D316" s="28" t="s">
        <v>162</v>
      </c>
      <c r="E316" s="29">
        <v>1</v>
      </c>
      <c r="F316" s="30">
        <v>0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386</v>
      </c>
      <c r="D317" s="28" t="s">
        <v>280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/>
      <c r="C318" s="106"/>
      <c r="D318" s="106"/>
      <c r="E318" s="107"/>
      <c r="F318" s="108"/>
      <c r="G318" s="83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/>
      <c r="C319" s="28"/>
      <c r="D319" s="28"/>
      <c r="E319" s="29"/>
      <c r="F319" s="30"/>
      <c r="G319" s="87"/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-3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344</v>
      </c>
      <c r="D326" s="1" t="s">
        <v>325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59</v>
      </c>
      <c r="E329" s="14">
        <v>1</v>
      </c>
      <c r="F329" s="15">
        <v>2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388</v>
      </c>
      <c r="D332" s="28" t="s">
        <v>410</v>
      </c>
      <c r="E332" s="29">
        <v>2</v>
      </c>
      <c r="F332" s="30">
        <v>0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387</v>
      </c>
      <c r="D333" s="28" t="s">
        <v>18</v>
      </c>
      <c r="E333" s="29">
        <v>1</v>
      </c>
      <c r="F333" s="30">
        <v>0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389</v>
      </c>
      <c r="D335" s="28" t="s">
        <v>162</v>
      </c>
      <c r="E335" s="29">
        <v>10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390</v>
      </c>
      <c r="D336" s="28" t="s">
        <v>124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317</v>
      </c>
      <c r="D337" s="28" t="s">
        <v>391</v>
      </c>
      <c r="E337" s="29">
        <v>1</v>
      </c>
      <c r="F337" s="30">
        <v>0</v>
      </c>
      <c r="G337" s="87"/>
      <c r="H337" s="91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7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269</v>
      </c>
      <c r="D340" s="28" t="s">
        <v>58</v>
      </c>
      <c r="E340" s="29">
        <v>9</v>
      </c>
      <c r="F340" s="30">
        <v>2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392</v>
      </c>
      <c r="D341" s="28" t="s">
        <v>348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393</v>
      </c>
      <c r="D342" s="28" t="s">
        <v>141</v>
      </c>
      <c r="E342" s="29">
        <v>12</v>
      </c>
      <c r="F342" s="30">
        <v>2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394</v>
      </c>
      <c r="D343" s="28" t="s">
        <v>23</v>
      </c>
      <c r="E343" s="29">
        <v>1</v>
      </c>
      <c r="F343" s="30">
        <v>0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395</v>
      </c>
      <c r="D344" s="28" t="s">
        <v>396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2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143</v>
      </c>
      <c r="D353" s="1" t="s">
        <v>142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113</v>
      </c>
      <c r="E356" s="14">
        <v>3</v>
      </c>
      <c r="F356" s="15">
        <v>1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397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398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83</v>
      </c>
      <c r="D362" s="28" t="s">
        <v>19</v>
      </c>
      <c r="E362" s="29">
        <v>15</v>
      </c>
      <c r="F362" s="30">
        <v>0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28" t="s">
        <v>76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4" customHeight="1" x14ac:dyDescent="0.3">
      <c r="B364" s="28" t="s">
        <v>16</v>
      </c>
      <c r="C364" s="28" t="s">
        <v>399</v>
      </c>
      <c r="D364" s="28" t="s">
        <v>22</v>
      </c>
      <c r="E364" s="29">
        <v>1</v>
      </c>
      <c r="F364" s="30">
        <v>0</v>
      </c>
      <c r="G364" s="103"/>
      <c r="H364" s="103"/>
      <c r="I364" s="1"/>
      <c r="J364" s="1"/>
    </row>
    <row r="365" spans="2:10" ht="13.4" customHeight="1" x14ac:dyDescent="0.3">
      <c r="B365" s="28"/>
      <c r="C365" s="28"/>
      <c r="D365" s="28"/>
      <c r="E365" s="29"/>
      <c r="F365" s="30"/>
      <c r="G365" s="103"/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310</v>
      </c>
      <c r="D367" s="28" t="s">
        <v>268</v>
      </c>
      <c r="E367" s="29">
        <v>25</v>
      </c>
      <c r="F367" s="30">
        <v>1</v>
      </c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131</v>
      </c>
      <c r="D368" s="28" t="s">
        <v>70</v>
      </c>
      <c r="E368" s="29">
        <v>10</v>
      </c>
      <c r="F368" s="30">
        <v>0</v>
      </c>
      <c r="G368" s="103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278</v>
      </c>
      <c r="D369" s="28" t="s">
        <v>355</v>
      </c>
      <c r="E369" s="29">
        <v>1</v>
      </c>
      <c r="F369" s="30">
        <v>0</v>
      </c>
      <c r="G369" s="103"/>
      <c r="H369" s="103"/>
      <c r="I369" s="1"/>
      <c r="J369" s="1"/>
    </row>
    <row r="370" spans="2:10" ht="13.4" customHeight="1" x14ac:dyDescent="0.3">
      <c r="B370" s="106" t="s">
        <v>17</v>
      </c>
      <c r="C370" s="106" t="s">
        <v>400</v>
      </c>
      <c r="D370" s="106" t="s">
        <v>401</v>
      </c>
      <c r="E370" s="107">
        <v>1</v>
      </c>
      <c r="F370" s="108">
        <v>0</v>
      </c>
      <c r="G370" s="103" t="s">
        <v>418</v>
      </c>
      <c r="H370" s="103">
        <v>46254</v>
      </c>
      <c r="I370" s="1"/>
      <c r="J370" s="1"/>
    </row>
    <row r="371" spans="2:10" ht="13.4" customHeight="1" x14ac:dyDescent="0.3">
      <c r="B371" s="28" t="s">
        <v>17</v>
      </c>
      <c r="C371" s="28" t="s">
        <v>421</v>
      </c>
      <c r="D371" s="28" t="s">
        <v>73</v>
      </c>
      <c r="E371" s="29" t="s">
        <v>417</v>
      </c>
      <c r="F371" s="30">
        <v>0</v>
      </c>
      <c r="G371" s="103">
        <v>46254</v>
      </c>
      <c r="H371" s="103"/>
      <c r="I371" s="1"/>
      <c r="J371" s="1"/>
    </row>
    <row r="372" spans="2:10" ht="13.4" customHeight="1" x14ac:dyDescent="0.3">
      <c r="B372" s="28" t="s">
        <v>17</v>
      </c>
      <c r="C372" s="28" t="s">
        <v>402</v>
      </c>
      <c r="D372" s="28" t="s">
        <v>366</v>
      </c>
      <c r="E372" s="29">
        <v>20</v>
      </c>
      <c r="F372" s="30">
        <v>0</v>
      </c>
      <c r="G372" s="103"/>
      <c r="H372" s="103"/>
      <c r="I372" s="1"/>
      <c r="J372" s="1"/>
    </row>
    <row r="373" spans="2:10" ht="13.4" customHeight="1" x14ac:dyDescent="0.3">
      <c r="B373" s="28"/>
      <c r="C373" s="28"/>
      <c r="D373" s="28"/>
      <c r="E373" s="29"/>
      <c r="F373" s="30"/>
      <c r="G373" s="103"/>
      <c r="H373" s="103"/>
      <c r="I373" s="1"/>
      <c r="J373" s="1"/>
    </row>
    <row r="374" spans="2:10" ht="13.4" customHeight="1" x14ac:dyDescent="0.3">
      <c r="B374" s="106"/>
      <c r="C374" s="106"/>
      <c r="D374" s="106"/>
      <c r="E374" s="107"/>
      <c r="F374" s="108"/>
      <c r="G374" s="103"/>
      <c r="H374" s="103"/>
      <c r="I374" s="1"/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0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87</v>
      </c>
      <c r="D380" s="3" t="s">
        <v>88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4" workbookViewId="0">
      <selection activeCell="B18" sqref="B18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411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30</v>
      </c>
      <c r="D7" s="24" t="s">
        <v>29</v>
      </c>
      <c r="E7" s="25">
        <v>7</v>
      </c>
      <c r="F7" s="26">
        <v>7</v>
      </c>
      <c r="G7" s="27">
        <v>0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51</v>
      </c>
      <c r="D8" s="24" t="s">
        <v>135</v>
      </c>
      <c r="E8" s="25">
        <v>6</v>
      </c>
      <c r="F8" s="26">
        <v>9</v>
      </c>
      <c r="G8" s="27">
        <v>3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</v>
      </c>
      <c r="D9" s="55" t="s">
        <v>1</v>
      </c>
      <c r="E9" s="25">
        <v>5</v>
      </c>
      <c r="F9" s="56">
        <v>5</v>
      </c>
      <c r="G9" s="57">
        <v>0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27</v>
      </c>
      <c r="D10" s="24" t="s">
        <v>15</v>
      </c>
      <c r="E10" s="25">
        <v>4</v>
      </c>
      <c r="F10" s="26">
        <v>4</v>
      </c>
      <c r="G10" s="27">
        <v>0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325</v>
      </c>
      <c r="D11" s="24" t="s">
        <v>344</v>
      </c>
      <c r="E11" s="25">
        <v>2</v>
      </c>
      <c r="F11" s="26">
        <v>4</v>
      </c>
      <c r="G11" s="27">
        <v>2</v>
      </c>
      <c r="H11" s="111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21</v>
      </c>
      <c r="D12" s="55" t="s">
        <v>266</v>
      </c>
      <c r="E12" s="25">
        <v>2</v>
      </c>
      <c r="F12" s="56">
        <v>2</v>
      </c>
      <c r="G12" s="57">
        <v>0</v>
      </c>
      <c r="H12" s="52"/>
      <c r="I12" s="41"/>
      <c r="J12" s="41"/>
      <c r="K12" s="41"/>
    </row>
    <row r="13" spans="1:11" ht="13.5" customHeight="1" x14ac:dyDescent="0.3">
      <c r="A13" s="47"/>
      <c r="B13" s="54">
        <v>6</v>
      </c>
      <c r="C13" s="3" t="s">
        <v>50</v>
      </c>
      <c r="D13" s="24" t="s">
        <v>158</v>
      </c>
      <c r="E13" s="25">
        <v>2</v>
      </c>
      <c r="F13" s="26">
        <v>2</v>
      </c>
      <c r="G13" s="27">
        <v>0</v>
      </c>
      <c r="H13" s="111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25</v>
      </c>
      <c r="D14" s="55" t="s">
        <v>126</v>
      </c>
      <c r="E14" s="25">
        <v>0</v>
      </c>
      <c r="F14" s="26">
        <v>5</v>
      </c>
      <c r="G14" s="27">
        <v>5</v>
      </c>
      <c r="H14" s="111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93</v>
      </c>
      <c r="D15" s="24" t="s">
        <v>106</v>
      </c>
      <c r="E15" s="25">
        <v>0</v>
      </c>
      <c r="F15" s="26">
        <v>3</v>
      </c>
      <c r="G15" s="27">
        <v>3</v>
      </c>
      <c r="H15" s="111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142</v>
      </c>
      <c r="D16" s="24" t="s">
        <v>143</v>
      </c>
      <c r="E16" s="25">
        <v>0</v>
      </c>
      <c r="F16" s="26">
        <v>1</v>
      </c>
      <c r="G16" s="27">
        <v>1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33</v>
      </c>
      <c r="D17" s="55" t="s">
        <v>32</v>
      </c>
      <c r="E17" s="25">
        <v>-1</v>
      </c>
      <c r="F17" s="56">
        <v>3</v>
      </c>
      <c r="G17" s="57">
        <v>4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80</v>
      </c>
      <c r="D18" s="55" t="s">
        <v>140</v>
      </c>
      <c r="E18" s="25">
        <v>-3</v>
      </c>
      <c r="F18" s="26">
        <v>2</v>
      </c>
      <c r="G18" s="27">
        <v>5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343</v>
      </c>
      <c r="D19" s="24" t="s">
        <v>403</v>
      </c>
      <c r="E19" s="25">
        <v>-3</v>
      </c>
      <c r="F19" s="26">
        <v>1</v>
      </c>
      <c r="G19" s="27">
        <v>4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49</v>
      </c>
      <c r="D20" s="55" t="s">
        <v>127</v>
      </c>
      <c r="E20" s="25">
        <v>-3</v>
      </c>
      <c r="F20" s="26">
        <v>0</v>
      </c>
      <c r="G20" s="27">
        <v>3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342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296</v>
      </c>
      <c r="J4" s="38" t="s">
        <v>297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298</v>
      </c>
      <c r="J5" s="38" t="s">
        <v>299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300</v>
      </c>
      <c r="J6" s="38" t="s">
        <v>301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302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303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308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311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86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314</v>
      </c>
      <c r="C27" s="68"/>
      <c r="D27" s="64"/>
      <c r="E27" s="65"/>
      <c r="F27" s="68"/>
      <c r="G27" s="64"/>
    </row>
    <row r="28" spans="1:7" ht="13.5" customHeight="1" x14ac:dyDescent="0.3">
      <c r="A28" s="67" t="s">
        <v>147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148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2" sqref="B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341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8"/>
      <c r="C4" s="64"/>
      <c r="D4" s="64"/>
      <c r="E4" s="69"/>
      <c r="F4" s="100"/>
      <c r="G4" s="100"/>
      <c r="H4" s="38"/>
      <c r="I4" s="38"/>
      <c r="J4" s="98" t="s">
        <v>260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/>
      <c r="C5" s="64"/>
      <c r="D5" s="64"/>
      <c r="E5" s="69"/>
      <c r="F5" s="100"/>
      <c r="G5" s="100"/>
      <c r="H5" s="38"/>
      <c r="I5" s="38"/>
      <c r="J5" s="98" t="s">
        <v>262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/>
      <c r="C6" s="64"/>
      <c r="D6" s="64"/>
      <c r="E6" s="69"/>
      <c r="F6" s="100"/>
      <c r="G6" s="100"/>
      <c r="H6" s="38"/>
      <c r="I6" s="38"/>
      <c r="J6" s="98" t="s">
        <v>261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8"/>
      <c r="C7" s="64"/>
      <c r="D7" s="64"/>
      <c r="E7" s="69"/>
      <c r="F7" s="100"/>
      <c r="G7" s="100"/>
      <c r="H7" s="38"/>
      <c r="I7" s="38"/>
      <c r="J7" s="98" t="s">
        <v>263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9"/>
      <c r="C8" s="100"/>
      <c r="D8" s="100"/>
      <c r="E8" s="68"/>
      <c r="F8" s="64"/>
      <c r="G8" s="64"/>
      <c r="H8" s="38"/>
      <c r="I8" s="38"/>
      <c r="J8" s="9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9"/>
      <c r="C9" s="100"/>
      <c r="D9" s="100"/>
      <c r="E9" s="68"/>
      <c r="F9" s="64"/>
      <c r="G9" s="64"/>
      <c r="H9" s="38"/>
      <c r="I9" s="38"/>
      <c r="J9" s="9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9"/>
      <c r="C10" s="100"/>
      <c r="D10" s="100"/>
      <c r="E10" s="68"/>
      <c r="F10" s="64"/>
      <c r="G10" s="64"/>
      <c r="H10" s="38"/>
      <c r="I10" s="38"/>
      <c r="J10" s="9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8"/>
      <c r="C11" s="64"/>
      <c r="D11" s="64"/>
      <c r="E11" s="68"/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9"/>
      <c r="C12" s="100"/>
      <c r="D12" s="100"/>
      <c r="E12" s="68"/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8"/>
      <c r="C13" s="64"/>
      <c r="D13" s="64"/>
      <c r="E13" s="69"/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86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147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148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149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150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151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152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153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154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155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156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157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272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3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165</v>
      </c>
      <c r="C5" t="s">
        <v>186</v>
      </c>
      <c r="F5" t="s">
        <v>188</v>
      </c>
      <c r="G5" t="s">
        <v>186</v>
      </c>
      <c r="J5" s="67" t="s">
        <v>213</v>
      </c>
      <c r="K5" t="s">
        <v>186</v>
      </c>
      <c r="N5" s="67" t="s">
        <v>238</v>
      </c>
      <c r="O5" t="s">
        <v>186</v>
      </c>
    </row>
    <row r="6" spans="2:17" x14ac:dyDescent="0.3">
      <c r="B6" t="s">
        <v>166</v>
      </c>
      <c r="C6">
        <f>COUNTIF(Stats!D:D,'Player Count'!B6)</f>
        <v>7</v>
      </c>
      <c r="F6" t="s">
        <v>189</v>
      </c>
      <c r="G6">
        <f>COUNTIF(Stats!D:D,'Player Count'!F6)</f>
        <v>1</v>
      </c>
      <c r="J6" t="s">
        <v>214</v>
      </c>
      <c r="K6">
        <f>COUNTIF(Stats!D:D,'Player Count'!J6)</f>
        <v>0</v>
      </c>
      <c r="M6" s="109"/>
      <c r="N6" s="67" t="s">
        <v>239</v>
      </c>
      <c r="O6">
        <f>COUNTIF(Stats!D:D,'Player Count'!N6)</f>
        <v>0</v>
      </c>
      <c r="Q6" s="109"/>
    </row>
    <row r="7" spans="2:17" x14ac:dyDescent="0.3">
      <c r="B7" t="s">
        <v>167</v>
      </c>
      <c r="C7">
        <f>COUNTIF(Stats!D:D,'Player Count'!B7)</f>
        <v>1</v>
      </c>
      <c r="F7" t="s">
        <v>190</v>
      </c>
      <c r="G7">
        <f>COUNTIF(Stats!D:D,'Player Count'!F7)</f>
        <v>0</v>
      </c>
      <c r="J7" t="s">
        <v>215</v>
      </c>
      <c r="K7">
        <f>COUNTIF(Stats!D:D,'Player Count'!J7)</f>
        <v>0</v>
      </c>
      <c r="M7" s="109"/>
      <c r="N7" t="s">
        <v>240</v>
      </c>
      <c r="O7">
        <f>COUNTIF(Stats!D:D,'Player Count'!N7)</f>
        <v>3</v>
      </c>
      <c r="Q7" s="109"/>
    </row>
    <row r="8" spans="2:17" x14ac:dyDescent="0.3">
      <c r="B8" t="s">
        <v>168</v>
      </c>
      <c r="C8">
        <f>COUNTIF(Stats!D:D,'Player Count'!B8)</f>
        <v>2</v>
      </c>
      <c r="F8" t="s">
        <v>191</v>
      </c>
      <c r="G8">
        <f>COUNTIF(Stats!D:D,'Player Count'!F8)</f>
        <v>2</v>
      </c>
      <c r="J8" s="67" t="s">
        <v>242</v>
      </c>
      <c r="K8">
        <f>COUNTIF(Stats!D:D,'Player Count'!J8)</f>
        <v>2</v>
      </c>
      <c r="M8" s="109"/>
      <c r="N8" t="s">
        <v>241</v>
      </c>
      <c r="O8">
        <f>COUNTIF(Stats!D:D,'Player Count'!N8)</f>
        <v>0</v>
      </c>
      <c r="Q8" s="109"/>
    </row>
    <row r="9" spans="2:17" x14ac:dyDescent="0.3">
      <c r="B9" t="s">
        <v>169</v>
      </c>
      <c r="C9">
        <f>COUNTIF(Stats!D:D,'Player Count'!B9)</f>
        <v>2</v>
      </c>
      <c r="F9" t="s">
        <v>192</v>
      </c>
      <c r="G9">
        <f>COUNTIF(Stats!D:D,'Player Count'!F9)</f>
        <v>1</v>
      </c>
      <c r="J9" s="67" t="s">
        <v>216</v>
      </c>
      <c r="K9">
        <f>COUNTIF(Stats!D:D,'Player Count'!J9)</f>
        <v>1</v>
      </c>
      <c r="M9" s="109"/>
      <c r="N9" s="67" t="s">
        <v>244</v>
      </c>
      <c r="O9">
        <f>COUNTIF(Stats!D:D,'Player Count'!N9)</f>
        <v>0</v>
      </c>
      <c r="Q9" s="109"/>
    </row>
    <row r="10" spans="2:17" x14ac:dyDescent="0.3">
      <c r="B10" t="s">
        <v>170</v>
      </c>
      <c r="C10">
        <f>COUNTIF(Stats!D:D,'Player Count'!B10)</f>
        <v>3</v>
      </c>
      <c r="F10" s="67" t="s">
        <v>171</v>
      </c>
      <c r="G10">
        <f>COUNTIF(Stats!D:D,'Player Count'!F10)</f>
        <v>1</v>
      </c>
      <c r="J10" s="67" t="s">
        <v>234</v>
      </c>
      <c r="K10">
        <f>COUNTIF(Stats!D:D,'Player Count'!J10)</f>
        <v>0</v>
      </c>
      <c r="M10" s="109"/>
      <c r="N10" t="s">
        <v>245</v>
      </c>
      <c r="O10">
        <f>COUNTIF(Stats!D:D,'Player Count'!N10)</f>
        <v>0</v>
      </c>
      <c r="Q10" s="109"/>
    </row>
    <row r="11" spans="2:17" x14ac:dyDescent="0.3">
      <c r="B11" s="67" t="s">
        <v>193</v>
      </c>
      <c r="C11">
        <f>COUNTIF(Stats!D:D,'Player Count'!B11)</f>
        <v>1</v>
      </c>
      <c r="F11" t="s">
        <v>194</v>
      </c>
      <c r="G11">
        <f>COUNTIF(Stats!D:D,'Player Count'!F11)</f>
        <v>2</v>
      </c>
      <c r="J11" s="67" t="s">
        <v>243</v>
      </c>
      <c r="K11">
        <f>COUNTIF(Stats!D:D,'Player Count'!J11)</f>
        <v>0</v>
      </c>
      <c r="M11" s="109"/>
      <c r="N11" s="67" t="s">
        <v>246</v>
      </c>
      <c r="O11">
        <f>COUNTIF(Stats!D:D,'Player Count'!N11)</f>
        <v>1</v>
      </c>
      <c r="Q11" s="109"/>
    </row>
    <row r="12" spans="2:17" x14ac:dyDescent="0.3">
      <c r="B12" t="s">
        <v>172</v>
      </c>
      <c r="C12">
        <f>COUNTIF(Stats!D:D,'Player Count'!B12)</f>
        <v>6</v>
      </c>
      <c r="F12" s="67" t="s">
        <v>233</v>
      </c>
      <c r="G12">
        <f>COUNTIF(Stats!D:D,'Player Count'!F12)</f>
        <v>1</v>
      </c>
      <c r="J12" s="67" t="s">
        <v>218</v>
      </c>
      <c r="K12">
        <f>COUNTIF(Stats!D:D,'Player Count'!J12)</f>
        <v>3</v>
      </c>
      <c r="M12" s="109"/>
      <c r="N12" s="67" t="s">
        <v>247</v>
      </c>
      <c r="O12">
        <f>COUNTIF(Stats!D:D,'Player Count'!N12)</f>
        <v>0</v>
      </c>
      <c r="Q12" s="109"/>
    </row>
    <row r="13" spans="2:17" x14ac:dyDescent="0.3">
      <c r="B13" t="s">
        <v>173</v>
      </c>
      <c r="C13">
        <f>COUNTIF(Stats!D:D,'Player Count'!B13)</f>
        <v>4</v>
      </c>
      <c r="F13" s="67" t="s">
        <v>217</v>
      </c>
      <c r="G13">
        <f>COUNTIF(Stats!D:D,'Player Count'!F13)</f>
        <v>0</v>
      </c>
      <c r="J13" s="67" t="s">
        <v>219</v>
      </c>
      <c r="K13">
        <f>COUNTIF(Stats!D:D,'Player Count'!J13)</f>
        <v>1</v>
      </c>
      <c r="M13" s="109"/>
      <c r="N13" s="67" t="s">
        <v>248</v>
      </c>
      <c r="O13">
        <f>COUNTIF(Stats!D:D,'Player Count'!N13)</f>
        <v>0</v>
      </c>
      <c r="Q13" s="109"/>
    </row>
    <row r="14" spans="2:17" x14ac:dyDescent="0.3">
      <c r="B14" t="s">
        <v>174</v>
      </c>
      <c r="C14">
        <f>COUNTIF(Stats!D:D,'Player Count'!B14)</f>
        <v>1</v>
      </c>
      <c r="F14" s="67" t="s">
        <v>222</v>
      </c>
      <c r="G14">
        <f>COUNTIF(Stats!D:D,'Player Count'!F14)</f>
        <v>0</v>
      </c>
      <c r="J14" s="67" t="s">
        <v>220</v>
      </c>
      <c r="K14">
        <f>COUNTIF(Stats!D:D,'Player Count'!J14)</f>
        <v>2</v>
      </c>
      <c r="M14" s="109"/>
      <c r="N14" s="67" t="s">
        <v>249</v>
      </c>
      <c r="O14">
        <f>COUNTIF(Stats!D:D,'Player Count'!N14)</f>
        <v>0</v>
      </c>
      <c r="Q14" s="109"/>
    </row>
    <row r="15" spans="2:17" x14ac:dyDescent="0.3">
      <c r="B15" t="s">
        <v>175</v>
      </c>
      <c r="C15">
        <f>COUNTIF(Stats!D:D,'Player Count'!B15)</f>
        <v>3</v>
      </c>
      <c r="F15" t="s">
        <v>198</v>
      </c>
      <c r="G15">
        <f>COUNTIF(Stats!D:D,'Player Count'!F15)</f>
        <v>3</v>
      </c>
      <c r="J15" t="s">
        <v>221</v>
      </c>
      <c r="K15">
        <f>COUNTIF(Stats!D:D,'Player Count'!J15)</f>
        <v>0</v>
      </c>
      <c r="M15" s="109"/>
      <c r="N15" t="s">
        <v>250</v>
      </c>
      <c r="O15">
        <f>COUNTIF(Stats!D:D,'Player Count'!N15)</f>
        <v>0</v>
      </c>
      <c r="Q15" s="109"/>
    </row>
    <row r="16" spans="2:17" x14ac:dyDescent="0.3">
      <c r="B16" t="s">
        <v>176</v>
      </c>
      <c r="C16">
        <f>COUNTIF(Stats!D:D,'Player Count'!B16)</f>
        <v>1</v>
      </c>
      <c r="F16" t="s">
        <v>199</v>
      </c>
      <c r="G16">
        <f>COUNTIF(Stats!D:D,'Player Count'!F16)</f>
        <v>2</v>
      </c>
      <c r="J16" s="67" t="s">
        <v>197</v>
      </c>
      <c r="K16">
        <f>COUNTIF(Stats!D:D,'Player Count'!J16)</f>
        <v>5</v>
      </c>
      <c r="M16" s="109"/>
      <c r="N16" s="67" t="s">
        <v>258</v>
      </c>
      <c r="O16">
        <f>COUNTIF(Stats!D:D,'Player Count'!N16)</f>
        <v>5</v>
      </c>
      <c r="Q16" s="109"/>
    </row>
    <row r="17" spans="2:17" x14ac:dyDescent="0.3">
      <c r="B17" t="s">
        <v>177</v>
      </c>
      <c r="C17">
        <f>COUNTIF(Stats!D:D,'Player Count'!B17)</f>
        <v>6</v>
      </c>
      <c r="F17" t="s">
        <v>200</v>
      </c>
      <c r="G17">
        <f>COUNTIF(Stats!D:D,'Player Count'!F17)</f>
        <v>2</v>
      </c>
      <c r="J17" s="67" t="s">
        <v>223</v>
      </c>
      <c r="K17">
        <f>COUNTIF(Stats!D:D,'Player Count'!J17)</f>
        <v>1</v>
      </c>
      <c r="M17" s="109"/>
      <c r="N17" s="67" t="s">
        <v>235</v>
      </c>
      <c r="O17">
        <f>COUNTIF(Stats!D:D,'Player Count'!N17)</f>
        <v>0</v>
      </c>
      <c r="Q17" s="109"/>
    </row>
    <row r="18" spans="2:17" x14ac:dyDescent="0.3">
      <c r="B18" t="s">
        <v>178</v>
      </c>
      <c r="C18">
        <f>COUNTIF(Stats!D:D,'Player Count'!B18)</f>
        <v>9</v>
      </c>
      <c r="F18" s="67" t="s">
        <v>184</v>
      </c>
      <c r="G18">
        <f>COUNTIF(Stats!D:D,'Player Count'!F18)</f>
        <v>4</v>
      </c>
      <c r="J18" s="67" t="s">
        <v>224</v>
      </c>
      <c r="K18">
        <f>COUNTIF(Stats!D:D,'Player Count'!J18)</f>
        <v>0</v>
      </c>
      <c r="M18" s="109"/>
      <c r="N18" s="67" t="s">
        <v>251</v>
      </c>
      <c r="O18">
        <f>COUNTIF(Stats!D:D,'Player Count'!N18)</f>
        <v>0</v>
      </c>
      <c r="Q18" s="109"/>
    </row>
    <row r="19" spans="2:17" x14ac:dyDescent="0.3">
      <c r="B19" t="s">
        <v>179</v>
      </c>
      <c r="C19">
        <f>COUNTIF(Stats!D:D,'Player Count'!B19)</f>
        <v>7</v>
      </c>
      <c r="F19" t="s">
        <v>202</v>
      </c>
      <c r="G19">
        <f>COUNTIF(Stats!D:D,'Player Count'!F19)</f>
        <v>1</v>
      </c>
      <c r="J19" s="67" t="s">
        <v>201</v>
      </c>
      <c r="K19">
        <f>COUNTIF(Stats!D:D,'Player Count'!J19)</f>
        <v>0</v>
      </c>
      <c r="M19" s="109"/>
      <c r="N19" t="s">
        <v>252</v>
      </c>
      <c r="O19">
        <f>COUNTIF(Stats!D:D,'Player Count'!N19)</f>
        <v>0</v>
      </c>
      <c r="Q19" s="109"/>
    </row>
    <row r="20" spans="2:17" x14ac:dyDescent="0.3">
      <c r="B20" t="s">
        <v>180</v>
      </c>
      <c r="C20">
        <f>COUNTIF(Stats!D:D,'Player Count'!B20)</f>
        <v>2</v>
      </c>
      <c r="F20" t="s">
        <v>203</v>
      </c>
      <c r="G20">
        <f>COUNTIF(Stats!D:D,'Player Count'!F20)</f>
        <v>0</v>
      </c>
      <c r="J20" s="67" t="s">
        <v>225</v>
      </c>
      <c r="K20">
        <f>COUNTIF(Stats!D:D,'Player Count'!J20)</f>
        <v>1</v>
      </c>
      <c r="M20" s="109"/>
      <c r="N20" s="67" t="s">
        <v>253</v>
      </c>
      <c r="O20">
        <f>COUNTIF(Stats!D:D,'Player Count'!N20)</f>
        <v>1</v>
      </c>
      <c r="Q20" s="109"/>
    </row>
    <row r="21" spans="2:17" x14ac:dyDescent="0.3">
      <c r="B21" t="s">
        <v>181</v>
      </c>
      <c r="C21">
        <f>COUNTIF(Stats!D:D,'Player Count'!B21)</f>
        <v>3</v>
      </c>
      <c r="F21" t="s">
        <v>204</v>
      </c>
      <c r="G21">
        <f>COUNTIF(Stats!D:D,'Player Count'!F21)</f>
        <v>2</v>
      </c>
      <c r="J21" s="67" t="s">
        <v>226</v>
      </c>
      <c r="K21">
        <f>COUNTIF(Stats!D:D,'Player Count'!J21)</f>
        <v>4</v>
      </c>
      <c r="M21" s="109"/>
      <c r="N21" s="67" t="s">
        <v>227</v>
      </c>
      <c r="O21">
        <f>COUNTIF(Stats!D:D,'Player Count'!N21)</f>
        <v>1</v>
      </c>
      <c r="Q21" s="109"/>
    </row>
    <row r="22" spans="2:17" x14ac:dyDescent="0.3">
      <c r="B22" t="s">
        <v>182</v>
      </c>
      <c r="C22">
        <f>COUNTIF(Stats!D:D,'Player Count'!B22)</f>
        <v>3</v>
      </c>
      <c r="F22" t="s">
        <v>205</v>
      </c>
      <c r="G22">
        <f>COUNTIF(Stats!D:D,'Player Count'!F22)</f>
        <v>2</v>
      </c>
      <c r="J22" s="67" t="s">
        <v>350</v>
      </c>
      <c r="K22">
        <f>COUNTIF(Stats!D:D,'Player Count'!J22)</f>
        <v>2</v>
      </c>
      <c r="M22" s="109"/>
      <c r="N22" s="67" t="s">
        <v>352</v>
      </c>
      <c r="O22">
        <f>COUNTIF(Stats!D:D,'Player Count'!N22)</f>
        <v>1</v>
      </c>
      <c r="Q22" s="109"/>
    </row>
    <row r="23" spans="2:17" x14ac:dyDescent="0.3">
      <c r="B23" t="s">
        <v>183</v>
      </c>
      <c r="C23">
        <f>COUNTIF(Stats!D:D,'Player Count'!B23)</f>
        <v>4</v>
      </c>
      <c r="F23" s="67" t="s">
        <v>185</v>
      </c>
      <c r="G23">
        <f>COUNTIF(Stats!D:D,'Player Count'!F23)</f>
        <v>4</v>
      </c>
      <c r="J23" t="s">
        <v>228</v>
      </c>
      <c r="K23">
        <f>COUNTIF(Stats!D:D,'Player Count'!J23)</f>
        <v>2</v>
      </c>
      <c r="M23" s="109"/>
      <c r="N23" s="67" t="s">
        <v>229</v>
      </c>
      <c r="O23">
        <f>COUNTIF(Stats!D:D,'Player Count'!N23)</f>
        <v>2</v>
      </c>
      <c r="Q23" s="109"/>
    </row>
    <row r="24" spans="2:17" x14ac:dyDescent="0.3">
      <c r="B24" s="67" t="s">
        <v>195</v>
      </c>
      <c r="C24">
        <f>COUNTIF(Stats!D:D,'Player Count'!B24)</f>
        <v>1</v>
      </c>
      <c r="F24" t="s">
        <v>207</v>
      </c>
      <c r="G24">
        <f>COUNTIF(Stats!D:D,'Player Count'!F24)</f>
        <v>5</v>
      </c>
      <c r="J24" s="67" t="s">
        <v>206</v>
      </c>
      <c r="K24">
        <f>COUNTIF(Stats!D:D,'Player Count'!J24)</f>
        <v>3</v>
      </c>
      <c r="M24" s="109"/>
      <c r="N24" s="67" t="s">
        <v>254</v>
      </c>
      <c r="O24">
        <f>COUNTIF(Stats!D:D,'Player Count'!N24)</f>
        <v>4</v>
      </c>
      <c r="Q24" s="109"/>
    </row>
    <row r="25" spans="2:17" x14ac:dyDescent="0.3">
      <c r="B25" s="67" t="s">
        <v>196</v>
      </c>
      <c r="C25">
        <f>COUNTIF(Stats!D:D,'Player Count'!B25)</f>
        <v>1</v>
      </c>
      <c r="F25" t="s">
        <v>208</v>
      </c>
      <c r="G25">
        <f>COUNTIF(Stats!D:D,'Player Count'!F25)</f>
        <v>1</v>
      </c>
      <c r="J25" t="s">
        <v>230</v>
      </c>
      <c r="K25">
        <f>COUNTIF(Stats!D:D,'Player Count'!J25)</f>
        <v>0</v>
      </c>
      <c r="M25" s="109"/>
      <c r="N25" s="67" t="s">
        <v>255</v>
      </c>
      <c r="O25">
        <f>COUNTIF(Stats!D:D,'Player Count'!N25)</f>
        <v>0</v>
      </c>
      <c r="Q25" s="109"/>
    </row>
    <row r="26" spans="2:17" x14ac:dyDescent="0.3">
      <c r="B26" s="78" t="s">
        <v>187</v>
      </c>
      <c r="C26" s="78">
        <f>SUM(C6:C25)</f>
        <v>67</v>
      </c>
      <c r="F26" t="s">
        <v>209</v>
      </c>
      <c r="G26">
        <f>COUNTIF(Stats!D:D,'Player Count'!F26)</f>
        <v>2</v>
      </c>
      <c r="J26" s="67" t="s">
        <v>236</v>
      </c>
      <c r="K26">
        <f>COUNTIF(Stats!D:D,'Player Count'!J26)</f>
        <v>3</v>
      </c>
      <c r="M26" s="109"/>
      <c r="N26" s="67" t="s">
        <v>256</v>
      </c>
      <c r="O26">
        <f>COUNTIF(Stats!D:D,'Player Count'!N26)</f>
        <v>1</v>
      </c>
      <c r="Q26" s="109"/>
    </row>
    <row r="27" spans="2:17" x14ac:dyDescent="0.3">
      <c r="F27" t="s">
        <v>210</v>
      </c>
      <c r="G27">
        <f>COUNTIF(Stats!D:D,'Player Count'!F27)</f>
        <v>0</v>
      </c>
      <c r="J27" s="67" t="s">
        <v>231</v>
      </c>
      <c r="K27">
        <f>COUNTIF(Stats!D:D,'Player Count'!J27)</f>
        <v>0</v>
      </c>
      <c r="M27" s="109"/>
      <c r="N27" s="67" t="s">
        <v>259</v>
      </c>
      <c r="O27">
        <f>COUNTIF(Stats!D:D,'Player Count'!N27)</f>
        <v>0</v>
      </c>
      <c r="Q27" s="109"/>
    </row>
    <row r="28" spans="2:17" x14ac:dyDescent="0.3">
      <c r="F28" t="s">
        <v>211</v>
      </c>
      <c r="G28">
        <f>COUNTIF(Stats!D:D,'Player Count'!F28)</f>
        <v>0</v>
      </c>
      <c r="J28" s="67" t="s">
        <v>232</v>
      </c>
      <c r="K28">
        <f>COUNTIF(Stats!D:D,'Player Count'!J28)</f>
        <v>0</v>
      </c>
      <c r="M28" s="109"/>
      <c r="N28" t="s">
        <v>257</v>
      </c>
      <c r="O28">
        <f>COUNTIF(Stats!D:D,'Player Count'!N28)</f>
        <v>0</v>
      </c>
      <c r="Q28" s="109"/>
    </row>
    <row r="29" spans="2:17" x14ac:dyDescent="0.3">
      <c r="F29" t="s">
        <v>212</v>
      </c>
      <c r="G29">
        <f>COUNTIF(Stats!D:D,'Player Count'!F29)</f>
        <v>2</v>
      </c>
      <c r="J29" s="67" t="s">
        <v>237</v>
      </c>
      <c r="K29">
        <f>COUNTIF(Stats!D:D,'Player Count'!J29)</f>
        <v>0</v>
      </c>
      <c r="N29" s="67" t="s">
        <v>351</v>
      </c>
      <c r="O29">
        <f>COUNTIF(Stats!D:D,'Player Count'!N29)</f>
        <v>2</v>
      </c>
    </row>
    <row r="30" spans="2:17" x14ac:dyDescent="0.3">
      <c r="B30" s="67"/>
      <c r="F30" s="78" t="s">
        <v>187</v>
      </c>
      <c r="G30" s="78">
        <f>SUM(G6:G29)</f>
        <v>38</v>
      </c>
      <c r="J30" s="78" t="s">
        <v>187</v>
      </c>
      <c r="K30" s="78">
        <f>SUM(K6:K29)</f>
        <v>30</v>
      </c>
      <c r="N30" s="78" t="s">
        <v>187</v>
      </c>
      <c r="O30" s="78">
        <f>SUM(O6:O29)</f>
        <v>21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267</v>
      </c>
      <c r="C38" s="110">
        <f>C26/SUM(C26,G30,K30,O30)</f>
        <v>0.42948717948717946</v>
      </c>
      <c r="D38" s="110"/>
      <c r="E38" s="110"/>
      <c r="F38" s="110"/>
      <c r="G38" s="110">
        <f>G30/SUM(C26,G30,K30,O30)</f>
        <v>0.24358974358974358</v>
      </c>
      <c r="H38" s="110"/>
      <c r="I38" s="110"/>
      <c r="J38" s="110"/>
      <c r="K38" s="110">
        <f>K30/SUM(C26,G30,K30,O30)</f>
        <v>0.19230769230769232</v>
      </c>
      <c r="L38" s="110"/>
      <c r="M38" s="110"/>
      <c r="N38" s="110"/>
      <c r="O38" s="110">
        <f>O30/SUM(C26,G30,K30,O30)</f>
        <v>0.13461538461538461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324</v>
      </c>
      <c r="H5" s="67" t="s">
        <v>327</v>
      </c>
      <c r="I5" s="67" t="s">
        <v>328</v>
      </c>
      <c r="J5" s="67" t="s">
        <v>329</v>
      </c>
      <c r="K5" s="67" t="s">
        <v>330</v>
      </c>
      <c r="L5" s="67" t="s">
        <v>331</v>
      </c>
      <c r="M5" s="67" t="s">
        <v>332</v>
      </c>
      <c r="N5" s="67" t="s">
        <v>333</v>
      </c>
      <c r="O5" s="67" t="s">
        <v>334</v>
      </c>
      <c r="P5" s="67" t="s">
        <v>335</v>
      </c>
      <c r="Q5" s="67" t="s">
        <v>336</v>
      </c>
      <c r="R5" s="67" t="s">
        <v>337</v>
      </c>
      <c r="S5" s="67" t="s">
        <v>337</v>
      </c>
      <c r="T5" s="67" t="s">
        <v>338</v>
      </c>
      <c r="U5" s="67" t="s">
        <v>339</v>
      </c>
      <c r="V5" s="67" t="s">
        <v>340</v>
      </c>
      <c r="W5" s="67" t="s">
        <v>187</v>
      </c>
    </row>
    <row r="6" spans="6:24" x14ac:dyDescent="0.3">
      <c r="F6" t="s">
        <v>80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412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412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412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412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412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412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412</v>
      </c>
    </row>
    <row r="15" spans="6:24" x14ac:dyDescent="0.3">
      <c r="F15" t="s">
        <v>142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412</v>
      </c>
    </row>
    <row r="17" spans="6:24" x14ac:dyDescent="0.3">
      <c r="F17" t="s">
        <v>93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325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412</v>
      </c>
    </row>
    <row r="19" spans="6:24" x14ac:dyDescent="0.3">
      <c r="F19" s="67" t="s">
        <v>326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2026-08-23T18:17:24Z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