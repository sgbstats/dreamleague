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https://kelloggcompany-my.sharepoint.com/personal/bryn_coombe_kellogg_com/Documents/Desktop/Dream League/"/>
    </mc:Choice>
  </mc:AlternateContent>
  <xr:revisionPtr revIDLastSave="1240" documentId="8_{7F77C9AC-84BD-45C7-A6BB-B14F0E65C3DD}" xr6:coauthVersionLast="47" xr6:coauthVersionMax="47" xr10:uidLastSave="{FA0DF0CC-B9A5-4491-BE58-A8EF076EE83D}"/>
  <bookViews>
    <workbookView xWindow="-110" yWindow="-110" windowWidth="34620" windowHeight="13900" xr2:uid="{00000000-000D-0000-FFFF-FFFF00000000}"/>
  </bookViews>
  <sheets>
    <sheet name="Stats" sheetId="2" r:id="rId1"/>
    <sheet name="Table" sheetId="3" r:id="rId2"/>
    <sheet name="Cup" sheetId="4" r:id="rId3"/>
    <sheet name="BFL Challenge" sheetId="6" r:id="rId4"/>
    <sheet name="Player Count" sheetId="7" r:id="rId5"/>
    <sheet name="Bet Settlement" sheetId="8" state="hidden" r:id="rId6"/>
  </sheets>
  <definedNames>
    <definedName name="_xlnm._FilterDatabase" localSheetId="1" hidden="1">Table!$C$6:$G$6</definedName>
  </definedNames>
  <calcPr calcId="191029" calcCompleted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" i="7" l="1"/>
  <c r="W10" i="8" l="1"/>
  <c r="W19" i="8"/>
  <c r="W7" i="8"/>
  <c r="W8" i="8"/>
  <c r="W9" i="8"/>
  <c r="W11" i="8"/>
  <c r="W12" i="8"/>
  <c r="W13" i="8"/>
  <c r="W14" i="8"/>
  <c r="W15" i="8"/>
  <c r="W16" i="8"/>
  <c r="W17" i="8"/>
  <c r="W18" i="8"/>
  <c r="W6" i="8"/>
  <c r="O15" i="2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<sst xmlns="http://schemas.openxmlformats.org/spreadsheetml/2006/main" count="956" uniqueCount="450">
  <si>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</si>
  <si>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</si>
  <si>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</si>
  <si>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</si>
  <si>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</si>
  <si>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</si>
  <si>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</si>
  <si>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</si>
  <si>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</si>
  <si>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</si>
  <si>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</si>
  <si>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</si>
  <si>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</si>
  <si>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</si>
  <si>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</si>
  <si>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</si>
  <si>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</si>
  <si>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</si>
  <si>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</si>
  <si>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</si>
  <si>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</si>
  <si>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</si>
  <si>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</si>
  <si>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</si>
  <si>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</si>
  <si>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</si>
  <si>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</si>
  <si>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</si>
  <si>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BRUNO FERNANDES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</si>
  <si>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</si>
  <si>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</si>
  <si>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</si>
  <si>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</si>
  <si>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</si>
  <si>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</si>
  <si>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</si>
  <si>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</si>
  <si>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</si>
  <si>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</si>
  <si>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</si>
  <si>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</si>
  <si>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</si>
  <si>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</si>
  <si>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</si>
  <si>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</si>
  <si>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</si>
  <si>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</si>
  <si>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</si>
  <si>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</si>
  <si>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</si>
  <si>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SEB BATE</t>
  </si>
  <si>
    <t>SAM HARPER</t>
  </si>
  <si>
    <t>BRIGHTON</t>
  </si>
  <si>
    <t>WEST HAM</t>
  </si>
  <si>
    <t>KAI HAVERTZ</t>
  </si>
  <si>
    <t>Quarter Finals</t>
  </si>
  <si>
    <t>Game 10</t>
  </si>
  <si>
    <t>MIDDLESBROUGH</t>
  </si>
  <si>
    <t>STOCKPORT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</si>
  <si>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</si>
  <si>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</si>
  <si>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</si>
  <si>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</si>
  <si>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</si>
  <si>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</si>
  <si>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</si>
  <si>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</si>
  <si>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</si>
  <si>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</si>
  <si>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WREXHAM</t>
  </si>
  <si>
    <t>CRYSTAL PALACE</t>
  </si>
  <si>
    <t>SHEFFIELD UNITED</t>
  </si>
  <si>
    <t>BOLTON</t>
  </si>
  <si>
    <t>MILLWALL</t>
  </si>
  <si>
    <t>BRISTOL CITY</t>
  </si>
  <si>
    <t>PHIL FODEN</t>
  </si>
  <si>
    <t>ALFIE MAY</t>
  </si>
  <si>
    <t>ALEKSANDER ISAK</t>
  </si>
  <si>
    <t>COVENTRY</t>
  </si>
  <si>
    <t>CHRIS MCD, JIMBO &amp; ADG</t>
  </si>
  <si>
    <t>WOLVERHAMPTON</t>
  </si>
  <si>
    <t>DONCASTER</t>
  </si>
  <si>
    <t>COLE PALMER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</si>
  <si>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</si>
  <si>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</si>
  <si>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</si>
  <si>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</si>
  <si>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</si>
  <si>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</si>
  <si>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</si>
  <si>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</si>
  <si>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</si>
  <si>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</si>
  <si>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</si>
  <si>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LUTON</t>
  </si>
  <si>
    <t>JAY STANSFIELD</t>
  </si>
  <si>
    <t>JOSKO GVARDIOL</t>
  </si>
  <si>
    <t>ROTHERHAM</t>
  </si>
  <si>
    <t>ALEX GILBEY</t>
  </si>
  <si>
    <t>ADAM ARMSTRONG</t>
  </si>
  <si>
    <t>IPSWICH</t>
  </si>
  <si>
    <t>SWANSEA</t>
  </si>
  <si>
    <t>HARRISON BURROWS</t>
  </si>
  <si>
    <t>BROMLEY</t>
  </si>
  <si>
    <t>LOUIE BARRY</t>
  </si>
  <si>
    <t>MIDDLESBROTHERS</t>
  </si>
  <si>
    <t>JOSH WINDASS</t>
  </si>
  <si>
    <t>MICHAEL CHEEK</t>
  </si>
  <si>
    <t>SALFORD</t>
  </si>
  <si>
    <t>EVERTON</t>
  </si>
  <si>
    <t>DANNY WELBECK</t>
  </si>
  <si>
    <t>RICHARD KONE</t>
  </si>
  <si>
    <t>NOTTINGHAM FOREST</t>
  </si>
  <si>
    <t>FINN AZAZ</t>
  </si>
  <si>
    <t>ANTOINE SEMENYO</t>
  </si>
  <si>
    <t>BOURNEMOUTH</t>
  </si>
  <si>
    <t>LIAM CULLEN</t>
  </si>
  <si>
    <t>SWINDON</t>
  </si>
  <si>
    <t>MORGAN ROGERS</t>
  </si>
  <si>
    <t>READING</t>
  </si>
  <si>
    <t>SAM DALBY</t>
  </si>
  <si>
    <t>DANIEL MUNOZ</t>
  </si>
  <si>
    <t>ISMAILA SARR</t>
  </si>
  <si>
    <t>FULHAM</t>
  </si>
  <si>
    <t>EVANILSON</t>
  </si>
  <si>
    <t>CF CALA ALCAUFAR</t>
  </si>
  <si>
    <t>SPORTING HOOF</t>
  </si>
  <si>
    <t>COLCHESTER</t>
  </si>
  <si>
    <t>OLDHAM</t>
  </si>
  <si>
    <t>DAVIS KEILLOR-DUNN</t>
  </si>
  <si>
    <t>JEAN-PHILIPPE MATETA</t>
  </si>
  <si>
    <t>SOUTHAMPTON</t>
  </si>
  <si>
    <t>VIKTOR GYOKERES</t>
  </si>
  <si>
    <t>JORGEN STRAND LARSEN</t>
  </si>
  <si>
    <t>LE HARPRE</t>
  </si>
  <si>
    <t>RAYAN CHERKI</t>
  </si>
  <si>
    <t>HARRY MAGUIRE</t>
  </si>
  <si>
    <t>BRYAN MBEUMO</t>
  </si>
  <si>
    <t>FLORIAN WIRTZ</t>
  </si>
  <si>
    <t>NEWELL'S OLD TIKI TAKA</t>
  </si>
  <si>
    <t>BARNET</t>
  </si>
  <si>
    <t>CHARLIE, ELIO &amp; DAVE</t>
  </si>
  <si>
    <t>ATLETICO DEC</t>
  </si>
  <si>
    <t>BUKAYO SAKA</t>
  </si>
  <si>
    <t>LORENT TOLAJ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</si>
  <si>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</si>
  <si>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</si>
  <si>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</si>
  <si>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</si>
  <si>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</si>
  <si>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</si>
  <si>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</si>
  <si>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</si>
  <si>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</si>
  <si>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</si>
  <si>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</si>
  <si>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</si>
  <si>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WENGER BOYS</t>
  </si>
  <si>
    <t>MORGAN GIBBS-WHITE</t>
  </si>
  <si>
    <t>JERRY YATES</t>
  </si>
  <si>
    <t>RAUL JIMENEZ</t>
  </si>
  <si>
    <t>GRIMSBY</t>
  </si>
  <si>
    <t>BENJAMIN SESKO</t>
  </si>
  <si>
    <t>STOKE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</si>
  <si>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</si>
  <si>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</si>
  <si>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</si>
  <si>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</si>
  <si>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</si>
  <si>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</si>
  <si>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</si>
  <si>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</si>
  <si>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</si>
  <si>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</si>
  <si>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</si>
  <si>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</si>
  <si>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</si>
  <si>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</si>
  <si>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</si>
  <si>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</si>
  <si>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</si>
  <si>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</si>
  <si>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</si>
  <si>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</si>
  <si>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</si>
  <si>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</si>
  <si>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</si>
  <si>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</si>
  <si>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</si>
  <si>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</si>
  <si>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</si>
  <si>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</si>
  <si>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</si>
  <si>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</si>
  <si>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</si>
  <si>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</si>
  <si>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</si>
  <si>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</si>
  <si>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</si>
  <si>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</si>
  <si>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</si>
  <si>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</si>
  <si>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</si>
  <si>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</si>
  <si>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</si>
  <si>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</si>
  <si>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</si>
  <si>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</si>
  <si>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</si>
  <si>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</si>
  <si>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</si>
  <si>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</si>
  <si>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</si>
  <si>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</si>
  <si>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</si>
  <si>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</si>
  <si>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</si>
  <si>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</si>
  <si>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</si>
  <si>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</si>
  <si>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</si>
  <si>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</si>
  <si>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</si>
  <si>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</si>
  <si>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</si>
  <si>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</si>
  <si>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</si>
  <si>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</si>
  <si>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</si>
  <si>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</si>
  <si>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</si>
  <si>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</si>
  <si>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</si>
  <si>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</si>
  <si>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</si>
  <si>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</si>
  <si>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</si>
  <si>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</si>
  <si>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</si>
  <si>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</si>
  <si>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</si>
  <si>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</si>
  <si>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</si>
  <si>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</si>
  <si>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</si>
  <si>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</si>
  <si>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</si>
  <si>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</si>
  <si>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</si>
  <si>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</si>
  <si>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</si>
  <si>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</si>
  <si>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</si>
  <si>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</si>
  <si>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</si>
  <si>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</si>
  <si>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</si>
  <si>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</si>
  <si>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</si>
  <si>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</si>
  <si>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</si>
  <si>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</si>
  <si>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</si>
  <si>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JAZE KABIA</t>
  </si>
  <si>
    <t>CARLTON MORRIS</t>
  </si>
  <si>
    <t>ROBS ROVERS</t>
  </si>
  <si>
    <t>% Players</t>
  </si>
  <si>
    <t>PLYMOUTH</t>
  </si>
  <si>
    <t>KYLE WOOTTON</t>
  </si>
  <si>
    <t>PAUL MULLIN</t>
  </si>
  <si>
    <t>1st Round Replay</t>
  </si>
  <si>
    <t>Game 26</t>
  </si>
  <si>
    <t>AARON DRINAN</t>
  </si>
  <si>
    <t>OWEN BAILEY</t>
  </si>
  <si>
    <t>ZAN VIPOTNIK</t>
  </si>
  <si>
    <t>OLI MCBURNIE</t>
  </si>
  <si>
    <t>HULL</t>
  </si>
  <si>
    <t>MASON BURSTOW</t>
  </si>
  <si>
    <t>JACK MARRIOTT</t>
  </si>
  <si>
    <t>PORT VALE</t>
  </si>
  <si>
    <t>DOM BALLARD</t>
  </si>
  <si>
    <t>IGOR THIAGO</t>
  </si>
  <si>
    <t>ADEBOLA OLUWO</t>
  </si>
  <si>
    <t>MORGAN WHITTAKER</t>
  </si>
  <si>
    <t>DANIEL KANU</t>
  </si>
  <si>
    <t>ASHLEY FLETCHER</t>
  </si>
  <si>
    <t>DOMINIC CALVERT-LEWIN</t>
  </si>
  <si>
    <t>HARRY LEONARD</t>
  </si>
  <si>
    <t>PETERBOROUGH</t>
  </si>
  <si>
    <t>JOVON MAKAMA</t>
  </si>
  <si>
    <t>RYAN GRAYDON</t>
  </si>
  <si>
    <t>JORDAN JAMES</t>
  </si>
  <si>
    <t>LEICESTER</t>
  </si>
  <si>
    <t>PATRICK BAMFORD</t>
  </si>
  <si>
    <t>1st</t>
  </si>
  <si>
    <t>31/01 - 02/01</t>
  </si>
  <si>
    <t>2nd</t>
  </si>
  <si>
    <t>21/02 - 22/02</t>
  </si>
  <si>
    <t>Semi</t>
  </si>
  <si>
    <t>14/03 - 15/03</t>
  </si>
  <si>
    <t>11/04 - 12/04</t>
  </si>
  <si>
    <t>BYES</t>
  </si>
  <si>
    <t>FEMI AZEEZ</t>
  </si>
  <si>
    <t>JACK CLARKE</t>
  </si>
  <si>
    <t>JAYDEN WAREHAM</t>
  </si>
  <si>
    <t>1st Round Replays</t>
  </si>
  <si>
    <t>MOHAMED TOURE</t>
  </si>
  <si>
    <t>ARIBIM PEPPLE</t>
  </si>
  <si>
    <t>Qtr Final Replays</t>
  </si>
  <si>
    <t>DOMINIK SZOBOSZLAI</t>
  </si>
  <si>
    <t>ADAMA SIDIBEH</t>
  </si>
  <si>
    <t>Semi Final Replay</t>
  </si>
  <si>
    <t>JOE TAYLOR</t>
  </si>
  <si>
    <t>ANDY COOK</t>
  </si>
  <si>
    <t>CRYSENCIO SUMMERVILLE</t>
  </si>
  <si>
    <t>NICO O'REILLY</t>
  </si>
  <si>
    <t>RYAN MANNING</t>
  </si>
  <si>
    <t>ISAAC HUTCHINSON</t>
  </si>
  <si>
    <t>HARVEY BARNES</t>
  </si>
  <si>
    <t>IGOR JESUS</t>
  </si>
  <si>
    <t>CHARLES VERNAM</t>
  </si>
  <si>
    <t>Buy-In</t>
  </si>
  <si>
    <t>JAMIE &amp; MIKE</t>
  </si>
  <si>
    <t>ADAM, NATH &amp; DYLAN</t>
  </si>
  <si>
    <t>BFL Buy-In</t>
  </si>
  <si>
    <t>League</t>
  </si>
  <si>
    <t>Cup</t>
  </si>
  <si>
    <t>Community Shield</t>
  </si>
  <si>
    <t>BFL Cup Winners</t>
  </si>
  <si>
    <t>Top Scandi</t>
  </si>
  <si>
    <t>Top Scorer over £30</t>
  </si>
  <si>
    <t>Top Scoring £1</t>
  </si>
  <si>
    <t>Fewest Conceded</t>
  </si>
  <si>
    <t>Top Scoring Most Expensive</t>
  </si>
  <si>
    <t>Top Score Midfield H2H</t>
  </si>
  <si>
    <t>Middlesdbrothers £25 players over +19.5</t>
  </si>
  <si>
    <t>H2Hs</t>
  </si>
  <si>
    <t>Jul Birthday</t>
  </si>
  <si>
    <t>Dream League Champs Cup 2027</t>
  </si>
  <si>
    <t>Dream League Cup 2027</t>
  </si>
  <si>
    <t>ADAM, NATHAN &amp; DYLAN</t>
  </si>
  <si>
    <t>DUGGANS ARMANDILLOS</t>
  </si>
  <si>
    <t>ADAM SENIOR</t>
  </si>
  <si>
    <t>SANTIAGO BUENO</t>
  </si>
  <si>
    <t>OLLIE PEARCE</t>
  </si>
  <si>
    <t>YORK</t>
  </si>
  <si>
    <t>WILL LANKSHEAR</t>
  </si>
  <si>
    <t>Milton Keynes</t>
  </si>
  <si>
    <t>York</t>
  </si>
  <si>
    <t>Rochdale</t>
  </si>
  <si>
    <t>TAYLOR HARWOOD-BELLIS</t>
  </si>
  <si>
    <t>CRISTIAN ROMERO</t>
  </si>
  <si>
    <t>SHEFFIELD WEDNESDAY</t>
  </si>
  <si>
    <t>OLIVER NORWOOD</t>
  </si>
  <si>
    <t>TATY CASTELLANOS</t>
  </si>
  <si>
    <t>GEORGINIO RUTTER</t>
  </si>
  <si>
    <t>DAN BURN</t>
  </si>
  <si>
    <t>ELI JUNIOR KROUPI</t>
  </si>
  <si>
    <t>MACAULEY LANGSTAFF</t>
  </si>
  <si>
    <t>MILTON KEYNES</t>
  </si>
  <si>
    <t>LEWIS WING</t>
  </si>
  <si>
    <t>GUS SCOTT-MORRISS</t>
  </si>
  <si>
    <t>DANIEL BALLARD</t>
  </si>
  <si>
    <t>SUNDERLAND</t>
  </si>
  <si>
    <t>OWEN OSENI</t>
  </si>
  <si>
    <t>PATRICK DORGU</t>
  </si>
  <si>
    <t>ADAM PHILLIPS</t>
  </si>
  <si>
    <t>FER LOPEZ</t>
  </si>
  <si>
    <t>ROMAN BURRELL</t>
  </si>
  <si>
    <t>MARVIN EKPITETA</t>
  </si>
  <si>
    <t>JACK PAYNE</t>
  </si>
  <si>
    <t>WILSON ISIDOR</t>
  </si>
  <si>
    <t>VIRGIL VAN DJIK</t>
  </si>
  <si>
    <t>TERRY DEVLIN</t>
  </si>
  <si>
    <t>BRENDAN WIREDU</t>
  </si>
  <si>
    <t>GONZALO GARCIA</t>
  </si>
  <si>
    <t>MARC GUEHI</t>
  </si>
  <si>
    <t>ZIAN FLEMMING</t>
  </si>
  <si>
    <t>KASEY PALMER</t>
  </si>
  <si>
    <t>LEWIS DOBBIN</t>
  </si>
  <si>
    <t>CALEB WATTS</t>
  </si>
  <si>
    <t>CONOR CHAPLIN</t>
  </si>
  <si>
    <t>MO FAAL</t>
  </si>
  <si>
    <t>GABRIEL</t>
  </si>
  <si>
    <t>MALACHI FAGAN-WALCOTT</t>
  </si>
  <si>
    <t>KIERAN GREEN</t>
  </si>
  <si>
    <t>HARRY WILSON</t>
  </si>
  <si>
    <t>AL HILAL</t>
  </si>
  <si>
    <t>JOSH STONES</t>
  </si>
  <si>
    <t>KABONGO TSHIMANGA</t>
  </si>
  <si>
    <t>CALLUM WILSON</t>
  </si>
  <si>
    <t>EMMANUEL DIESERUVWE</t>
  </si>
  <si>
    <t>ROCHDALE</t>
  </si>
  <si>
    <t>MICKY VAN DE VEN</t>
  </si>
  <si>
    <t>JURRIEN TIMBER</t>
  </si>
  <si>
    <t>JEREMY DOKU</t>
  </si>
  <si>
    <t>TROY PARROTT</t>
  </si>
  <si>
    <t>AZ ALKMAAR</t>
  </si>
  <si>
    <t>BRIAN BROBBEY</t>
  </si>
  <si>
    <t>WEETABIX 2 LONG FC</t>
  </si>
  <si>
    <t>HARRY SOUTTAR</t>
  </si>
  <si>
    <t>ENZO FERNANDEZ</t>
  </si>
  <si>
    <t>BOBBY DE CORDOVA-REID</t>
  </si>
  <si>
    <t>DIEGO GOMEZ</t>
  </si>
  <si>
    <t>ROSS STEWART</t>
  </si>
  <si>
    <t>JAYDEN SWEENEY</t>
  </si>
  <si>
    <t>HEART OF MIDLOTHIAN</t>
  </si>
  <si>
    <t>2026/2027</t>
  </si>
  <si>
    <t>Done</t>
  </si>
  <si>
    <t>OMAR SOWUNMI</t>
  </si>
  <si>
    <t>PORTSMOUTH</t>
  </si>
  <si>
    <t>BRADFORD</t>
  </si>
  <si>
    <t>SAM NOMBE</t>
  </si>
  <si>
    <t>TRANSFER</t>
  </si>
  <si>
    <t>SOLD</t>
  </si>
  <si>
    <t>HUGO EKITIKE</t>
  </si>
  <si>
    <t>SAMMIE SZMODICS</t>
  </si>
  <si>
    <t>JOSH COBURN</t>
  </si>
  <si>
    <t>JOEL PIROE</t>
  </si>
  <si>
    <t>CHRISTOS TZOLIS</t>
  </si>
  <si>
    <t>CYLE LARIN</t>
  </si>
  <si>
    <t>LEE BONIS</t>
  </si>
  <si>
    <t>CHESTERFIELD</t>
  </si>
  <si>
    <t>JULIAN ALVAREZ</t>
  </si>
  <si>
    <t>ATLETICO MADRID</t>
  </si>
  <si>
    <t>KEANE LEWIS-POTTER</t>
  </si>
  <si>
    <t>NICHOLAS JACKSON</t>
  </si>
  <si>
    <t>BRADLEY BARCOLA</t>
  </si>
  <si>
    <t>LEO SCIENZA</t>
  </si>
  <si>
    <t>OMAR MARMOUSH</t>
  </si>
  <si>
    <t>BLACKPOOL</t>
  </si>
  <si>
    <t>CHARLIE LAKIN</t>
  </si>
  <si>
    <t>YOANNE WISSA</t>
  </si>
  <si>
    <t>COLORADO RAPIDS</t>
  </si>
  <si>
    <t>SHAQUILLE GWENGE</t>
  </si>
  <si>
    <t>NEWPORT</t>
  </si>
  <si>
    <t>JAMAL LOWE</t>
  </si>
  <si>
    <t>EMIL RIIS</t>
  </si>
  <si>
    <t>YUSUF AKHAMRICH</t>
  </si>
  <si>
    <t>LEYTON ORIENT</t>
  </si>
  <si>
    <t>DANE SCARLETT</t>
  </si>
  <si>
    <t>AARON PRESSLEY</t>
  </si>
  <si>
    <t>WALSALL</t>
  </si>
  <si>
    <t>WEST BROM</t>
  </si>
  <si>
    <t>JIMMY-JAY MORGAN</t>
  </si>
  <si>
    <t>CALUM KAVANAGH</t>
  </si>
  <si>
    <t>NOTTS COUNTY</t>
  </si>
  <si>
    <t>WYCOMBE</t>
  </si>
  <si>
    <t>KIERNAN DEWSBURY-HALL</t>
  </si>
  <si>
    <t>DAVIS KEILLOR DUNN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</si>
</sst>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£&quot;#,##0"/>
  </numFmts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19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9" fontId="0" fillId="0" borderId="0" xfId="1" applyFont="1"/>
    <xf numFmtId="0" fontId="4" fillId="0" borderId="5" xfId="0" applyFont="1" applyBorder="1"/>
    <xf numFmtId="0" fontId="1" fillId="2" borderId="20" xfId="0" applyFont="1" applyFill="1" applyBorder="1" applyAlignment="1">
      <alignment horizontal="right" vertical="center"/>
    </xf>
    <xf numFmtId="164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customProperty" Target="../customProperty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topLeftCell="A294" zoomScaleNormal="100" workbookViewId="0">
      <selection activeCell="G129" sqref="G129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19921875" style="77" customWidth="1"/>
    <col min="11" max="11" width="32.5" style="77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1992187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18"/>
      <c r="S4" s="118"/>
      <c r="T4" s="118"/>
      <c r="U4" s="118"/>
      <c r="V4" s="118"/>
    </row>
    <row r="5" spans="1:22" ht="13.4" customHeight="1" x14ac:dyDescent="0.3">
      <c r="A5" s="79"/>
      <c r="B5" s="114" t="s">
        <v>13</v>
      </c>
      <c r="C5" s="115"/>
      <c r="D5" s="114" t="s">
        <v>123</v>
      </c>
      <c r="E5" s="116">
        <v>1</v>
      </c>
      <c r="F5" s="117">
        <v>7</v>
      </c>
      <c r="G5" s="83" t="s">
        <v>414</v>
      </c>
      <c r="H5" s="84">
        <v>46275</v>
      </c>
      <c r="I5" s="85"/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12</v>
      </c>
      <c r="N5" s="19">
        <f>SUM(F8:F25)</f>
        <v>19</v>
      </c>
      <c r="O5" s="20">
        <f>SUM(F5:F7)</f>
        <v>7</v>
      </c>
      <c r="S5" s="102"/>
      <c r="T5" s="101"/>
      <c r="U5" s="102"/>
    </row>
    <row r="6" spans="1:22" ht="13.4" customHeight="1" x14ac:dyDescent="0.3">
      <c r="A6" s="79"/>
      <c r="B6" s="21" t="s">
        <v>13</v>
      </c>
      <c r="C6" s="21"/>
      <c r="D6" s="21" t="s">
        <v>101</v>
      </c>
      <c r="E6" s="22" t="s">
        <v>413</v>
      </c>
      <c r="F6" s="21">
        <v>0</v>
      </c>
      <c r="G6" s="86">
        <v>46275</v>
      </c>
      <c r="H6" s="84"/>
      <c r="I6" s="81"/>
      <c r="J6" s="79"/>
      <c r="K6" s="23" t="str">
        <f>D29</f>
        <v>ROB PICKETT</v>
      </c>
      <c r="L6" s="24" t="str">
        <f>C29</f>
        <v>ROBS ROVERS</v>
      </c>
      <c r="M6" s="25">
        <f t="shared" si="0"/>
        <v>5</v>
      </c>
      <c r="N6" s="26">
        <f>SUM(F35:F52)</f>
        <v>10</v>
      </c>
      <c r="O6" s="27">
        <f>SUM(F32:F34)</f>
        <v>5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3</v>
      </c>
      <c r="N7" s="26">
        <f>SUM(F62:F79)</f>
        <v>14</v>
      </c>
      <c r="O7" s="27">
        <f>SUM(F59:F61)</f>
        <v>11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342</v>
      </c>
      <c r="D8" s="28" t="s">
        <v>140</v>
      </c>
      <c r="E8" s="29">
        <v>1</v>
      </c>
      <c r="F8" s="30">
        <v>0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5</v>
      </c>
      <c r="N8" s="26">
        <f>SUM(F89:F106)</f>
        <v>8</v>
      </c>
      <c r="O8" s="27">
        <f>SUM(F86:F88)</f>
        <v>3</v>
      </c>
    </row>
    <row r="9" spans="1:22" ht="13.4" customHeight="1" x14ac:dyDescent="0.3">
      <c r="A9" s="79"/>
      <c r="B9" s="28" t="s">
        <v>14</v>
      </c>
      <c r="C9" s="28" t="s">
        <v>343</v>
      </c>
      <c r="D9" s="28" t="s">
        <v>80</v>
      </c>
      <c r="E9" s="29">
        <v>2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-4</v>
      </c>
      <c r="N9" s="73">
        <f>SUM(F116:F133)</f>
        <v>2</v>
      </c>
      <c r="O9" s="74">
        <f>SUM(F113:F115)</f>
        <v>6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11</v>
      </c>
      <c r="N10" s="26">
        <f>SUM(F143:F160)</f>
        <v>18</v>
      </c>
      <c r="O10" s="27">
        <f>SUM(F140:F142)</f>
        <v>7</v>
      </c>
      <c r="R10" s="118"/>
      <c r="S10" s="118"/>
      <c r="T10" s="118"/>
      <c r="U10" s="118"/>
      <c r="V10" s="118"/>
    </row>
    <row r="11" spans="1:22" ht="13.4" customHeight="1" x14ac:dyDescent="0.3">
      <c r="A11" s="79"/>
      <c r="B11" s="28" t="s">
        <v>16</v>
      </c>
      <c r="C11" s="28" t="s">
        <v>273</v>
      </c>
      <c r="D11" s="28" t="s">
        <v>81</v>
      </c>
      <c r="E11" s="29">
        <v>8</v>
      </c>
      <c r="F11" s="30">
        <v>1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5</v>
      </c>
      <c r="N11" s="26">
        <f>SUM(F170:F187)</f>
        <v>10</v>
      </c>
      <c r="O11" s="27">
        <f>SUM(F167:F169)</f>
        <v>5</v>
      </c>
      <c r="S11" s="102"/>
      <c r="T11" s="101"/>
      <c r="U11" s="102"/>
    </row>
    <row r="12" spans="1:22" ht="13.4" customHeight="1" x14ac:dyDescent="0.3">
      <c r="A12" s="79"/>
      <c r="B12" s="106" t="s">
        <v>16</v>
      </c>
      <c r="C12" s="106" t="s">
        <v>290</v>
      </c>
      <c r="D12" s="106" t="s">
        <v>108</v>
      </c>
      <c r="E12" s="107">
        <v>3</v>
      </c>
      <c r="F12" s="108">
        <v>0</v>
      </c>
      <c r="G12" s="87" t="s">
        <v>414</v>
      </c>
      <c r="H12" s="84">
        <v>46261</v>
      </c>
      <c r="I12" s="99"/>
      <c r="J12" s="82"/>
      <c r="K12" s="71" t="str">
        <f>D191</f>
        <v>ADAM, NATHAN &amp; DYLAN</v>
      </c>
      <c r="L12" s="72" t="str">
        <f>C191</f>
        <v>WEETABIX 2 LONG FC</v>
      </c>
      <c r="M12" s="25">
        <f t="shared" si="0"/>
        <v>1</v>
      </c>
      <c r="N12" s="73">
        <f>SUM(F197:F214)</f>
        <v>11</v>
      </c>
      <c r="O12" s="74">
        <f>SUM(F194:F196)</f>
        <v>10</v>
      </c>
    </row>
    <row r="13" spans="1:22" ht="13.4" customHeight="1" x14ac:dyDescent="0.3">
      <c r="A13" s="79"/>
      <c r="B13" s="28" t="s">
        <v>16</v>
      </c>
      <c r="C13" s="28" t="s">
        <v>419</v>
      </c>
      <c r="D13" s="28" t="s">
        <v>18</v>
      </c>
      <c r="E13" s="29" t="s">
        <v>413</v>
      </c>
      <c r="F13" s="30">
        <v>0</v>
      </c>
      <c r="G13" s="87">
        <v>46261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7</v>
      </c>
      <c r="N13" s="73">
        <f>SUM(F224:F241)</f>
        <v>8</v>
      </c>
      <c r="O13" s="74">
        <f>SUM(F221:F223)</f>
        <v>1</v>
      </c>
      <c r="R13" s="118"/>
      <c r="S13" s="118"/>
      <c r="T13" s="118"/>
      <c r="U13" s="118"/>
      <c r="V13" s="118"/>
    </row>
    <row r="14" spans="1:22" ht="13.4" customHeight="1" x14ac:dyDescent="0.3">
      <c r="A14" s="79"/>
      <c r="B14" s="28" t="s">
        <v>16</v>
      </c>
      <c r="C14" s="28" t="s">
        <v>309</v>
      </c>
      <c r="D14" s="28" t="s">
        <v>31</v>
      </c>
      <c r="E14" s="29">
        <v>6</v>
      </c>
      <c r="F14" s="30">
        <v>1</v>
      </c>
      <c r="G14" s="87"/>
      <c r="H14" s="84"/>
      <c r="I14" s="99"/>
      <c r="J14" s="79"/>
      <c r="K14" s="71" t="str">
        <f>D245</f>
        <v>SAM HARPER</v>
      </c>
      <c r="L14" s="72" t="str">
        <f>C245</f>
        <v>LE HARPRE</v>
      </c>
      <c r="M14" s="25">
        <f t="shared" si="0"/>
        <v>9</v>
      </c>
      <c r="N14" s="73">
        <f>SUM(F251:F268)</f>
        <v>15</v>
      </c>
      <c r="O14" s="74">
        <f>SUM(F248:F250)</f>
        <v>6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-2</v>
      </c>
      <c r="N15" s="26">
        <f>SUM(F278:F295)</f>
        <v>4</v>
      </c>
      <c r="O15" s="27">
        <f>SUM(F275:F277)</f>
        <v>6</v>
      </c>
    </row>
    <row r="16" spans="1:22" ht="13.4" customHeight="1" x14ac:dyDescent="0.3">
      <c r="A16" s="79"/>
      <c r="B16" s="28" t="s">
        <v>17</v>
      </c>
      <c r="C16" s="28" t="s">
        <v>344</v>
      </c>
      <c r="D16" s="28" t="s">
        <v>345</v>
      </c>
      <c r="E16" s="29">
        <v>17</v>
      </c>
      <c r="F16" s="30">
        <v>1</v>
      </c>
      <c r="G16" s="84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-2</v>
      </c>
      <c r="N16" s="26">
        <f>SUM(F305:F322)</f>
        <v>6</v>
      </c>
      <c r="O16" s="27">
        <f>SUM(F302:F304)</f>
        <v>8</v>
      </c>
    </row>
    <row r="17" spans="1:22" ht="13.4" customHeight="1" x14ac:dyDescent="0.3">
      <c r="A17" s="79"/>
      <c r="B17" s="28" t="s">
        <v>17</v>
      </c>
      <c r="C17" s="28" t="s">
        <v>91</v>
      </c>
      <c r="D17" s="28" t="s">
        <v>19</v>
      </c>
      <c r="E17" s="29">
        <v>28</v>
      </c>
      <c r="F17" s="30">
        <v>2</v>
      </c>
      <c r="G17" s="84"/>
      <c r="H17" s="84"/>
      <c r="I17" s="99"/>
      <c r="J17" s="82"/>
      <c r="K17" s="31" t="str">
        <f>D326</f>
        <v>JAMIE &amp; MIKE</v>
      </c>
      <c r="L17" s="32" t="str">
        <f>C326</f>
        <v>DUGGANS ARMANDILLOS</v>
      </c>
      <c r="M17" s="25">
        <f t="shared" si="0"/>
        <v>4</v>
      </c>
      <c r="N17" s="26">
        <f>SUM(F332:F349)</f>
        <v>10</v>
      </c>
      <c r="O17" s="27">
        <f>SUM(F329:F331)</f>
        <v>6</v>
      </c>
      <c r="R17" s="118"/>
      <c r="S17" s="118"/>
      <c r="T17" s="118"/>
      <c r="U17" s="118"/>
      <c r="V17" s="118"/>
    </row>
    <row r="18" spans="1:22" ht="13.4" customHeight="1" thickBot="1" x14ac:dyDescent="0.35">
      <c r="A18" s="79"/>
      <c r="B18" s="28" t="s">
        <v>17</v>
      </c>
      <c r="C18" s="28" t="s">
        <v>312</v>
      </c>
      <c r="D18" s="28" t="s">
        <v>89</v>
      </c>
      <c r="E18" s="29">
        <v>1</v>
      </c>
      <c r="F18" s="30">
        <v>5</v>
      </c>
      <c r="G18" s="83"/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2</v>
      </c>
      <c r="N18" s="26">
        <f>SUM(F359:F376)</f>
        <v>5</v>
      </c>
      <c r="O18" s="27">
        <f>SUM(F356:F358)</f>
        <v>3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346</v>
      </c>
      <c r="D19" s="28" t="s">
        <v>57</v>
      </c>
      <c r="E19" s="29">
        <v>19</v>
      </c>
      <c r="F19" s="30">
        <v>7</v>
      </c>
      <c r="G19" s="87"/>
      <c r="H19" s="84"/>
      <c r="I19" s="99"/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6" t="s">
        <v>17</v>
      </c>
      <c r="C20" s="106" t="s">
        <v>95</v>
      </c>
      <c r="D20" s="106" t="s">
        <v>93</v>
      </c>
      <c r="E20" s="107">
        <v>8</v>
      </c>
      <c r="F20" s="108">
        <v>0</v>
      </c>
      <c r="G20" s="87" t="s">
        <v>414</v>
      </c>
      <c r="H20" s="84">
        <v>46261</v>
      </c>
      <c r="I20" s="99"/>
      <c r="J20" s="76"/>
      <c r="K20" s="1"/>
      <c r="L20" s="1"/>
      <c r="M20" s="1"/>
      <c r="N20" s="1"/>
      <c r="O20" s="1"/>
      <c r="R20" s="118"/>
      <c r="S20" s="118"/>
      <c r="T20" s="118"/>
      <c r="U20" s="118"/>
      <c r="V20" s="118"/>
    </row>
    <row r="21" spans="1:22" ht="13.4" customHeight="1" x14ac:dyDescent="0.3">
      <c r="A21" s="79"/>
      <c r="B21" s="28" t="s">
        <v>17</v>
      </c>
      <c r="C21" s="28" t="s">
        <v>420</v>
      </c>
      <c r="D21" s="28" t="s">
        <v>131</v>
      </c>
      <c r="E21" s="29" t="s">
        <v>413</v>
      </c>
      <c r="F21" s="30">
        <v>2</v>
      </c>
      <c r="G21" s="87">
        <v>46261</v>
      </c>
      <c r="H21" s="84"/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/>
      <c r="C22" s="28"/>
      <c r="D22" s="28"/>
      <c r="E22" s="29"/>
      <c r="F22" s="30"/>
      <c r="G22" s="87"/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106"/>
      <c r="C23" s="106"/>
      <c r="D23" s="106"/>
      <c r="E23" s="107"/>
      <c r="F23" s="108"/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6"/>
      <c r="C24" s="106"/>
      <c r="D24" s="106"/>
      <c r="E24" s="107"/>
      <c r="F24" s="108"/>
      <c r="G24" s="87"/>
      <c r="H24" s="84"/>
      <c r="I24" s="89"/>
      <c r="J24" s="1"/>
      <c r="K24" s="1"/>
      <c r="L24" s="1"/>
      <c r="M24" s="1"/>
      <c r="N24" s="1"/>
      <c r="O24" s="1"/>
      <c r="R24" s="118"/>
      <c r="S24" s="118"/>
      <c r="T24" s="118"/>
      <c r="U24" s="118"/>
      <c r="V24" s="118"/>
    </row>
    <row r="25" spans="1:22" ht="13.4" customHeight="1" thickBot="1" x14ac:dyDescent="0.35">
      <c r="A25" s="79"/>
      <c r="B25" s="28"/>
      <c r="C25" s="28"/>
      <c r="D25" s="28"/>
      <c r="E25" s="29"/>
      <c r="F25" s="30"/>
      <c r="G25" s="87"/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94</v>
      </c>
      <c r="F26" s="36">
        <f>SUM(F8:F25)-SUM(F5:F7)</f>
        <v>12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18"/>
      <c r="S28" s="118"/>
      <c r="T28" s="118"/>
      <c r="U28" s="118"/>
      <c r="V28" s="118"/>
    </row>
    <row r="29" spans="1:22" ht="13.4" customHeight="1" x14ac:dyDescent="0.3">
      <c r="A29" s="1"/>
      <c r="B29" s="1"/>
      <c r="C29" s="3" t="s">
        <v>265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52</v>
      </c>
      <c r="E32" s="14">
        <v>1</v>
      </c>
      <c r="F32" s="15">
        <v>5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350</v>
      </c>
      <c r="D35" s="28" t="s">
        <v>26</v>
      </c>
      <c r="E35" s="29">
        <v>1</v>
      </c>
      <c r="F35" s="30">
        <v>0</v>
      </c>
      <c r="G35" s="83"/>
      <c r="H35" s="91"/>
      <c r="I35" s="89"/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351</v>
      </c>
      <c r="D36" s="28" t="s">
        <v>24</v>
      </c>
      <c r="E36" s="29">
        <v>1</v>
      </c>
      <c r="F36" s="30">
        <v>0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3"/>
      <c r="H37" s="91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114</v>
      </c>
      <c r="D38" s="28" t="s">
        <v>22</v>
      </c>
      <c r="E38" s="29">
        <v>19</v>
      </c>
      <c r="F38" s="30">
        <v>0</v>
      </c>
      <c r="G38" s="87"/>
      <c r="H38" s="91"/>
      <c r="I38" s="93"/>
      <c r="J38" s="76"/>
      <c r="K38" s="1"/>
      <c r="L38" s="1"/>
      <c r="M38" s="1"/>
      <c r="N38" s="1"/>
      <c r="O38" s="1"/>
      <c r="R38" s="118"/>
      <c r="S38" s="118"/>
      <c r="T38" s="118"/>
      <c r="U38" s="118"/>
      <c r="V38" s="118"/>
    </row>
    <row r="39" spans="1:22" ht="13.4" customHeight="1" x14ac:dyDescent="0.3">
      <c r="A39" s="79"/>
      <c r="B39" s="28" t="s">
        <v>16</v>
      </c>
      <c r="C39" s="28" t="s">
        <v>317</v>
      </c>
      <c r="D39" s="28" t="s">
        <v>81</v>
      </c>
      <c r="E39" s="29">
        <v>11</v>
      </c>
      <c r="F39" s="30">
        <v>2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61</v>
      </c>
      <c r="D40" s="28" t="s">
        <v>53</v>
      </c>
      <c r="E40" s="29">
        <v>43</v>
      </c>
      <c r="F40" s="30">
        <v>3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 t="s">
        <v>17</v>
      </c>
      <c r="C43" s="28" t="s">
        <v>76</v>
      </c>
      <c r="D43" s="28" t="s">
        <v>81</v>
      </c>
      <c r="E43" s="29">
        <v>1</v>
      </c>
      <c r="F43" s="30">
        <v>2</v>
      </c>
      <c r="G43" s="87"/>
      <c r="H43" s="91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28" t="s">
        <v>17</v>
      </c>
      <c r="C44" s="28" t="s">
        <v>313</v>
      </c>
      <c r="D44" s="28" t="s">
        <v>161</v>
      </c>
      <c r="E44" s="29">
        <v>7</v>
      </c>
      <c r="F44" s="30">
        <v>2</v>
      </c>
      <c r="G44" s="87"/>
      <c r="H44" s="91"/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106" t="s">
        <v>17</v>
      </c>
      <c r="C45" s="106" t="s">
        <v>133</v>
      </c>
      <c r="D45" s="106" t="s">
        <v>70</v>
      </c>
      <c r="E45" s="107">
        <v>1</v>
      </c>
      <c r="F45" s="108">
        <v>0</v>
      </c>
      <c r="G45" s="87" t="s">
        <v>414</v>
      </c>
      <c r="H45" s="91">
        <v>46261</v>
      </c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426</v>
      </c>
      <c r="D46" s="28" t="s">
        <v>26</v>
      </c>
      <c r="E46" s="29" t="s">
        <v>413</v>
      </c>
      <c r="F46" s="30">
        <v>0</v>
      </c>
      <c r="G46" s="91">
        <v>46261</v>
      </c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28" t="s">
        <v>17</v>
      </c>
      <c r="C47" s="28" t="s">
        <v>285</v>
      </c>
      <c r="D47" s="28" t="s">
        <v>89</v>
      </c>
      <c r="E47" s="29">
        <v>13</v>
      </c>
      <c r="F47" s="30">
        <v>0</v>
      </c>
      <c r="G47" s="91"/>
      <c r="H47" s="91"/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159</v>
      </c>
      <c r="D48" s="28" t="s">
        <v>430</v>
      </c>
      <c r="E48" s="29">
        <v>2</v>
      </c>
      <c r="F48" s="30">
        <v>1</v>
      </c>
      <c r="G48" s="91"/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28"/>
      <c r="C49" s="28"/>
      <c r="D49" s="28"/>
      <c r="E49" s="29"/>
      <c r="F49" s="30"/>
      <c r="G49" s="91"/>
      <c r="H49" s="91"/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106"/>
      <c r="C50" s="106"/>
      <c r="D50" s="106"/>
      <c r="E50" s="107"/>
      <c r="F50" s="108"/>
      <c r="G50" s="91"/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106"/>
      <c r="C51" s="106"/>
      <c r="D51" s="106"/>
      <c r="E51" s="107"/>
      <c r="F51" s="108"/>
      <c r="G51" s="91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87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100</v>
      </c>
      <c r="F53" s="36">
        <f>SUM(F35:F52)-SUM(F32:F34)</f>
        <v>5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125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14" t="s">
        <v>13</v>
      </c>
      <c r="C59" s="115"/>
      <c r="D59" s="114" t="s">
        <v>163</v>
      </c>
      <c r="E59" s="116">
        <v>5</v>
      </c>
      <c r="F59" s="117">
        <v>10</v>
      </c>
      <c r="G59" s="80" t="s">
        <v>414</v>
      </c>
      <c r="H59" s="94">
        <v>46268</v>
      </c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 t="s">
        <v>13</v>
      </c>
      <c r="C60" s="21"/>
      <c r="D60" s="21" t="s">
        <v>23</v>
      </c>
      <c r="E60" s="22" t="s">
        <v>413</v>
      </c>
      <c r="F60" s="21">
        <v>1</v>
      </c>
      <c r="G60" s="86">
        <v>46268</v>
      </c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136</v>
      </c>
      <c r="D62" s="28" t="s">
        <v>59</v>
      </c>
      <c r="E62" s="29">
        <v>4</v>
      </c>
      <c r="F62" s="30">
        <v>0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96</v>
      </c>
      <c r="D63" s="28" t="s">
        <v>22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106" t="s">
        <v>16</v>
      </c>
      <c r="C65" s="106" t="s">
        <v>113</v>
      </c>
      <c r="D65" s="106" t="s">
        <v>131</v>
      </c>
      <c r="E65" s="107">
        <v>10</v>
      </c>
      <c r="F65" s="108">
        <v>0</v>
      </c>
      <c r="G65" s="83" t="s">
        <v>414</v>
      </c>
      <c r="H65" s="91">
        <v>46261</v>
      </c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429</v>
      </c>
      <c r="D66" s="28" t="s">
        <v>24</v>
      </c>
      <c r="E66" s="29" t="s">
        <v>413</v>
      </c>
      <c r="F66" s="30">
        <v>0</v>
      </c>
      <c r="G66" s="87">
        <v>46261</v>
      </c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28" t="s">
        <v>16</v>
      </c>
      <c r="C67" s="28" t="s">
        <v>28</v>
      </c>
      <c r="D67" s="28" t="s">
        <v>59</v>
      </c>
      <c r="E67" s="29">
        <v>17</v>
      </c>
      <c r="F67" s="30">
        <v>3</v>
      </c>
      <c r="G67" s="83"/>
      <c r="H67" s="91"/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106" t="s">
        <v>16</v>
      </c>
      <c r="C68" s="106" t="s">
        <v>353</v>
      </c>
      <c r="D68" s="106" t="s">
        <v>58</v>
      </c>
      <c r="E68" s="107">
        <v>1</v>
      </c>
      <c r="F68" s="108">
        <v>0</v>
      </c>
      <c r="G68" s="87" t="s">
        <v>414</v>
      </c>
      <c r="H68" s="91">
        <v>46261</v>
      </c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 t="s">
        <v>16</v>
      </c>
      <c r="C69" s="28" t="s">
        <v>428</v>
      </c>
      <c r="D69" s="28" t="s">
        <v>131</v>
      </c>
      <c r="E69" s="29" t="s">
        <v>413</v>
      </c>
      <c r="F69" s="30">
        <v>1</v>
      </c>
      <c r="G69" s="91">
        <v>46261</v>
      </c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 t="s">
        <v>17</v>
      </c>
      <c r="C70" s="28" t="s">
        <v>110</v>
      </c>
      <c r="D70" s="28" t="s">
        <v>19</v>
      </c>
      <c r="E70" s="29">
        <v>1</v>
      </c>
      <c r="F70" s="30">
        <v>1</v>
      </c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137</v>
      </c>
      <c r="D71" s="28" t="s">
        <v>59</v>
      </c>
      <c r="E71" s="29">
        <v>23</v>
      </c>
      <c r="F71" s="30">
        <v>2</v>
      </c>
      <c r="G71" s="83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28" t="s">
        <v>17</v>
      </c>
      <c r="C72" s="28" t="s">
        <v>54</v>
      </c>
      <c r="D72" s="28" t="s">
        <v>18</v>
      </c>
      <c r="E72" s="29">
        <v>4</v>
      </c>
      <c r="F72" s="30">
        <v>3</v>
      </c>
      <c r="G72" s="87"/>
      <c r="H72" s="91"/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354</v>
      </c>
      <c r="D73" s="28" t="s">
        <v>53</v>
      </c>
      <c r="E73" s="29">
        <v>1</v>
      </c>
      <c r="F73" s="30">
        <v>3</v>
      </c>
      <c r="G73" s="87"/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355</v>
      </c>
      <c r="D74" s="28" t="s">
        <v>52</v>
      </c>
      <c r="E74" s="29">
        <v>1</v>
      </c>
      <c r="F74" s="30">
        <v>0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6"/>
      <c r="C75" s="106"/>
      <c r="D75" s="106"/>
      <c r="E75" s="107"/>
      <c r="F75" s="108"/>
      <c r="G75" s="87"/>
      <c r="H75" s="91"/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/>
      <c r="C76" s="28"/>
      <c r="D76" s="28"/>
      <c r="E76" s="29"/>
      <c r="F76" s="30"/>
      <c r="G76" s="87"/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6"/>
      <c r="C77" s="106"/>
      <c r="D77" s="106"/>
      <c r="E77" s="107"/>
      <c r="F77" s="108"/>
      <c r="G77" s="87"/>
      <c r="H77" s="91"/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106"/>
      <c r="C78" s="106"/>
      <c r="D78" s="106"/>
      <c r="E78" s="107"/>
      <c r="F78" s="108"/>
      <c r="G78" s="87"/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1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68</v>
      </c>
      <c r="F80" s="36">
        <f>SUM(F62:F79)-SUM(F59:F61)</f>
        <v>3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109</v>
      </c>
      <c r="E86" s="14">
        <v>4</v>
      </c>
      <c r="F86" s="15">
        <v>3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315</v>
      </c>
      <c r="D89" s="28" t="s">
        <v>22</v>
      </c>
      <c r="E89" s="29">
        <v>7</v>
      </c>
      <c r="F89" s="30">
        <v>0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356</v>
      </c>
      <c r="D90" s="28" t="s">
        <v>34</v>
      </c>
      <c r="E90" s="29">
        <v>1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7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106</v>
      </c>
      <c r="D92" s="28" t="s">
        <v>69</v>
      </c>
      <c r="E92" s="29">
        <v>7</v>
      </c>
      <c r="F92" s="30">
        <v>0</v>
      </c>
      <c r="G92" s="91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28" t="s">
        <v>16</v>
      </c>
      <c r="C93" s="28" t="s">
        <v>98</v>
      </c>
      <c r="D93" s="28" t="s">
        <v>359</v>
      </c>
      <c r="E93" s="29">
        <v>1</v>
      </c>
      <c r="F93" s="30">
        <v>0</v>
      </c>
      <c r="G93" s="91"/>
      <c r="H93" s="91"/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143</v>
      </c>
      <c r="D94" s="28" t="s">
        <v>18</v>
      </c>
      <c r="E94" s="29">
        <v>10</v>
      </c>
      <c r="F94" s="30">
        <v>2</v>
      </c>
      <c r="G94" s="91"/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/>
      <c r="C95" s="28"/>
      <c r="D95" s="28"/>
      <c r="E95" s="29"/>
      <c r="F95" s="30"/>
      <c r="G95" s="91"/>
      <c r="H95" s="91"/>
      <c r="I95" s="90"/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87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 t="s">
        <v>17</v>
      </c>
      <c r="C97" s="28" t="s">
        <v>284</v>
      </c>
      <c r="D97" s="28" t="s">
        <v>446</v>
      </c>
      <c r="E97" s="29">
        <v>4</v>
      </c>
      <c r="F97" s="30">
        <v>0</v>
      </c>
      <c r="G97" s="83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287</v>
      </c>
      <c r="D98" s="28" t="s">
        <v>288</v>
      </c>
      <c r="E98" s="29">
        <v>7</v>
      </c>
      <c r="F98" s="30">
        <v>4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106" t="s">
        <v>17</v>
      </c>
      <c r="C99" s="106" t="s">
        <v>415</v>
      </c>
      <c r="D99" s="106" t="s">
        <v>31</v>
      </c>
      <c r="E99" s="107">
        <v>10</v>
      </c>
      <c r="F99" s="108">
        <v>0</v>
      </c>
      <c r="G99" s="87" t="s">
        <v>414</v>
      </c>
      <c r="H99" s="91">
        <v>46247</v>
      </c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28" t="s">
        <v>17</v>
      </c>
      <c r="C100" s="28" t="s">
        <v>412</v>
      </c>
      <c r="D100" s="28" t="s">
        <v>97</v>
      </c>
      <c r="E100" s="29" t="s">
        <v>413</v>
      </c>
      <c r="F100" s="30">
        <v>0</v>
      </c>
      <c r="G100" s="87">
        <v>46247</v>
      </c>
      <c r="H100" s="91"/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106" t="s">
        <v>17</v>
      </c>
      <c r="C101" s="106" t="s">
        <v>357</v>
      </c>
      <c r="D101" s="106" t="s">
        <v>115</v>
      </c>
      <c r="E101" s="107">
        <v>1</v>
      </c>
      <c r="F101" s="108">
        <v>0</v>
      </c>
      <c r="G101" s="87" t="s">
        <v>414</v>
      </c>
      <c r="H101" s="91">
        <v>46254</v>
      </c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418</v>
      </c>
      <c r="D102" s="28" t="s">
        <v>53</v>
      </c>
      <c r="E102" s="29" t="s">
        <v>413</v>
      </c>
      <c r="F102" s="30">
        <v>2</v>
      </c>
      <c r="G102" s="87">
        <v>46254</v>
      </c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28" t="s">
        <v>17</v>
      </c>
      <c r="C103" s="28" t="s">
        <v>358</v>
      </c>
      <c r="D103" s="28" t="s">
        <v>108</v>
      </c>
      <c r="E103" s="29">
        <v>48</v>
      </c>
      <c r="F103" s="30">
        <v>0</v>
      </c>
      <c r="G103" s="87"/>
      <c r="H103" s="91"/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106"/>
      <c r="C104" s="106"/>
      <c r="D104" s="106"/>
      <c r="E104" s="107"/>
      <c r="F104" s="108"/>
      <c r="G104" s="87"/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106"/>
      <c r="C105" s="106"/>
      <c r="D105" s="106"/>
      <c r="E105" s="107"/>
      <c r="F105" s="108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100</v>
      </c>
      <c r="F107" s="36">
        <f>SUM(F89:F106)-SUM(F86:F88)</f>
        <v>5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126</v>
      </c>
      <c r="D110" s="3" t="s">
        <v>49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24</v>
      </c>
      <c r="E113" s="14">
        <v>1</v>
      </c>
      <c r="F113" s="15">
        <v>6</v>
      </c>
      <c r="G113" s="80"/>
      <c r="H113" s="94"/>
      <c r="I113" s="90"/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361</v>
      </c>
      <c r="D116" s="28" t="s">
        <v>128</v>
      </c>
      <c r="E116" s="29">
        <v>1</v>
      </c>
      <c r="F116" s="30">
        <v>0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362</v>
      </c>
      <c r="D117" s="28" t="s">
        <v>363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88</v>
      </c>
      <c r="D119" s="28" t="s">
        <v>108</v>
      </c>
      <c r="E119" s="29">
        <v>1</v>
      </c>
      <c r="F119" s="30">
        <v>0</v>
      </c>
      <c r="G119" s="87"/>
      <c r="H119" s="91"/>
      <c r="I119" s="90"/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360</v>
      </c>
      <c r="D120" s="28" t="s">
        <v>119</v>
      </c>
      <c r="E120" s="29">
        <v>1</v>
      </c>
      <c r="F120" s="30">
        <v>0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6" t="s">
        <v>16</v>
      </c>
      <c r="C121" s="106" t="s">
        <v>116</v>
      </c>
      <c r="D121" s="106" t="s">
        <v>292</v>
      </c>
      <c r="E121" s="107">
        <v>1</v>
      </c>
      <c r="F121" s="108">
        <v>0</v>
      </c>
      <c r="G121" s="86" t="s">
        <v>414</v>
      </c>
      <c r="H121" s="94">
        <v>46261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427</v>
      </c>
      <c r="D122" s="28" t="s">
        <v>31</v>
      </c>
      <c r="E122" s="29" t="s">
        <v>413</v>
      </c>
      <c r="F122" s="30">
        <v>0</v>
      </c>
      <c r="G122" s="87">
        <v>46261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 t="s">
        <v>17</v>
      </c>
      <c r="C124" s="28" t="s">
        <v>122</v>
      </c>
      <c r="D124" s="28" t="s">
        <v>70</v>
      </c>
      <c r="E124" s="29">
        <v>20</v>
      </c>
      <c r="F124" s="30">
        <v>0</v>
      </c>
      <c r="G124" s="83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106" t="s">
        <v>17</v>
      </c>
      <c r="C125" s="106" t="s">
        <v>64</v>
      </c>
      <c r="D125" s="106" t="s">
        <v>26</v>
      </c>
      <c r="E125" s="107">
        <v>38</v>
      </c>
      <c r="F125" s="108">
        <v>0</v>
      </c>
      <c r="G125" s="87" t="s">
        <v>414</v>
      </c>
      <c r="H125" s="91">
        <v>46261</v>
      </c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28" t="s">
        <v>17</v>
      </c>
      <c r="C126" s="28" t="s">
        <v>421</v>
      </c>
      <c r="D126" s="28" t="s">
        <v>422</v>
      </c>
      <c r="E126" s="29" t="s">
        <v>413</v>
      </c>
      <c r="F126" s="30">
        <v>0</v>
      </c>
      <c r="G126" s="87">
        <v>46261</v>
      </c>
      <c r="H126" s="91"/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6" t="s">
        <v>17</v>
      </c>
      <c r="C127" s="106" t="s">
        <v>269</v>
      </c>
      <c r="D127" s="106" t="s">
        <v>97</v>
      </c>
      <c r="E127" s="107">
        <v>20</v>
      </c>
      <c r="F127" s="108">
        <v>1</v>
      </c>
      <c r="G127" s="87" t="s">
        <v>414</v>
      </c>
      <c r="H127" s="91">
        <v>46275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449</v>
      </c>
      <c r="D128" s="28" t="s">
        <v>352</v>
      </c>
      <c r="E128" s="29" t="s">
        <v>413</v>
      </c>
      <c r="F128" s="30">
        <v>0</v>
      </c>
      <c r="G128" s="87">
        <v>46275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28" t="s">
        <v>17</v>
      </c>
      <c r="C129" s="28" t="s">
        <v>111</v>
      </c>
      <c r="D129" s="28" t="s">
        <v>203</v>
      </c>
      <c r="E129" s="29">
        <v>1</v>
      </c>
      <c r="F129" s="30">
        <v>0</v>
      </c>
      <c r="G129" s="87"/>
      <c r="H129" s="91"/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106" t="s">
        <v>17</v>
      </c>
      <c r="C130" s="106" t="s">
        <v>364</v>
      </c>
      <c r="D130" s="106" t="s">
        <v>267</v>
      </c>
      <c r="E130" s="107">
        <v>1</v>
      </c>
      <c r="F130" s="108">
        <v>0</v>
      </c>
      <c r="G130" s="87" t="s">
        <v>414</v>
      </c>
      <c r="H130" s="91">
        <v>46268</v>
      </c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444</v>
      </c>
      <c r="D131" s="28" t="s">
        <v>443</v>
      </c>
      <c r="E131" s="29" t="s">
        <v>413</v>
      </c>
      <c r="F131" s="30">
        <v>1</v>
      </c>
      <c r="G131" s="87">
        <v>46268</v>
      </c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6"/>
      <c r="C132" s="106"/>
      <c r="D132" s="106"/>
      <c r="E132" s="107"/>
      <c r="F132" s="108"/>
      <c r="G132" s="87"/>
      <c r="H132" s="91"/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/>
      <c r="C133" s="28"/>
      <c r="D133" s="28"/>
      <c r="E133" s="29"/>
      <c r="F133" s="30"/>
      <c r="G133" s="87"/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86</v>
      </c>
      <c r="F134" s="36">
        <f>SUM(F116:F133)-SUM(F113:F115)</f>
        <v>-4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29</v>
      </c>
      <c r="D137" s="3" t="s">
        <v>30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2" t="s">
        <v>13</v>
      </c>
      <c r="C140" s="13"/>
      <c r="D140" s="12" t="s">
        <v>19</v>
      </c>
      <c r="E140" s="14">
        <v>1</v>
      </c>
      <c r="F140" s="15">
        <v>7</v>
      </c>
      <c r="G140" s="80"/>
      <c r="H140" s="94"/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21"/>
      <c r="C141" s="21"/>
      <c r="D141" s="21"/>
      <c r="E141" s="22"/>
      <c r="F141" s="21"/>
      <c r="G141" s="86"/>
      <c r="H141" s="94"/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/>
      <c r="C142" s="21"/>
      <c r="D142" s="21"/>
      <c r="E142" s="22"/>
      <c r="F142" s="21"/>
      <c r="G142" s="86"/>
      <c r="H142" s="92"/>
      <c r="I142" s="112"/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282</v>
      </c>
      <c r="D143" s="28" t="s">
        <v>108</v>
      </c>
      <c r="E143" s="29">
        <v>2</v>
      </c>
      <c r="F143" s="30">
        <v>1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365</v>
      </c>
      <c r="D144" s="28" t="s">
        <v>59</v>
      </c>
      <c r="E144" s="29">
        <v>6</v>
      </c>
      <c r="F144" s="30">
        <v>0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106" t="s">
        <v>16</v>
      </c>
      <c r="C146" s="106" t="s">
        <v>366</v>
      </c>
      <c r="D146" s="106" t="s">
        <v>411</v>
      </c>
      <c r="E146" s="107">
        <v>1</v>
      </c>
      <c r="F146" s="108">
        <v>0</v>
      </c>
      <c r="G146" s="87" t="s">
        <v>414</v>
      </c>
      <c r="H146" s="91">
        <v>46268</v>
      </c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95</v>
      </c>
      <c r="D147" s="28" t="s">
        <v>93</v>
      </c>
      <c r="E147" s="29" t="s">
        <v>413</v>
      </c>
      <c r="F147" s="30">
        <v>1</v>
      </c>
      <c r="G147" s="87">
        <v>46268</v>
      </c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28" t="s">
        <v>16</v>
      </c>
      <c r="C148" s="28" t="s">
        <v>104</v>
      </c>
      <c r="D148" s="28" t="s">
        <v>352</v>
      </c>
      <c r="E148" s="29">
        <v>6</v>
      </c>
      <c r="F148" s="30">
        <v>3</v>
      </c>
      <c r="G148" s="87"/>
      <c r="H148" s="91"/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367</v>
      </c>
      <c r="D149" s="28" t="s">
        <v>80</v>
      </c>
      <c r="E149" s="29">
        <v>2</v>
      </c>
      <c r="F149" s="30">
        <v>4</v>
      </c>
      <c r="G149" s="87"/>
      <c r="H149" s="91"/>
      <c r="I149" s="90"/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 t="s">
        <v>17</v>
      </c>
      <c r="C151" s="28" t="s">
        <v>293</v>
      </c>
      <c r="D151" s="28" t="s">
        <v>71</v>
      </c>
      <c r="E151" s="29">
        <v>1</v>
      </c>
      <c r="F151" s="30">
        <v>2</v>
      </c>
      <c r="G151" s="83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162</v>
      </c>
      <c r="D152" s="28" t="s">
        <v>59</v>
      </c>
      <c r="E152" s="29">
        <v>33</v>
      </c>
      <c r="F152" s="30">
        <v>1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306</v>
      </c>
      <c r="D153" s="28" t="s">
        <v>20</v>
      </c>
      <c r="E153" s="29">
        <v>13</v>
      </c>
      <c r="F153" s="30">
        <v>4</v>
      </c>
      <c r="G153" s="87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28" t="s">
        <v>17</v>
      </c>
      <c r="C154" s="28" t="s">
        <v>160</v>
      </c>
      <c r="D154" s="28" t="s">
        <v>80</v>
      </c>
      <c r="E154" s="29">
        <v>25</v>
      </c>
      <c r="F154" s="30">
        <v>2</v>
      </c>
      <c r="G154" s="87"/>
      <c r="H154" s="91"/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106" t="s">
        <v>17</v>
      </c>
      <c r="C155" s="106" t="s">
        <v>368</v>
      </c>
      <c r="D155" s="106" t="s">
        <v>203</v>
      </c>
      <c r="E155" s="107">
        <v>10</v>
      </c>
      <c r="F155" s="108">
        <v>0</v>
      </c>
      <c r="G155" s="87" t="s">
        <v>414</v>
      </c>
      <c r="H155" s="91">
        <v>46261</v>
      </c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106" t="s">
        <v>17</v>
      </c>
      <c r="C156" s="106" t="s">
        <v>423</v>
      </c>
      <c r="D156" s="106" t="s">
        <v>424</v>
      </c>
      <c r="E156" s="107" t="s">
        <v>413</v>
      </c>
      <c r="F156" s="108">
        <v>0</v>
      </c>
      <c r="G156" s="87">
        <v>46261</v>
      </c>
      <c r="H156" s="91">
        <v>46268</v>
      </c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434</v>
      </c>
      <c r="D157" s="28" t="s">
        <v>435</v>
      </c>
      <c r="E157" s="29" t="s">
        <v>413</v>
      </c>
      <c r="F157" s="30">
        <v>0</v>
      </c>
      <c r="G157" s="87">
        <v>46268</v>
      </c>
      <c r="H157" s="91"/>
      <c r="I157" s="90"/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106"/>
      <c r="C158" s="106"/>
      <c r="D158" s="106"/>
      <c r="E158" s="107"/>
      <c r="F158" s="108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106"/>
      <c r="C159" s="106"/>
      <c r="D159" s="106"/>
      <c r="E159" s="107"/>
      <c r="F159" s="108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11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32</v>
      </c>
      <c r="D164" s="3" t="s">
        <v>33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x14ac:dyDescent="0.3">
      <c r="A167" s="79"/>
      <c r="B167" s="12" t="s">
        <v>13</v>
      </c>
      <c r="C167" s="13"/>
      <c r="D167" s="12" t="s">
        <v>22</v>
      </c>
      <c r="E167" s="14">
        <v>4</v>
      </c>
      <c r="F167" s="15">
        <v>5</v>
      </c>
      <c r="G167" s="80"/>
      <c r="H167" s="94"/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21"/>
      <c r="C168" s="21"/>
      <c r="D168" s="21"/>
      <c r="E168" s="22"/>
      <c r="F168" s="21"/>
      <c r="G168" s="86"/>
      <c r="H168" s="92"/>
      <c r="I168" s="92"/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369</v>
      </c>
      <c r="D170" s="28" t="s">
        <v>359</v>
      </c>
      <c r="E170" s="29">
        <v>3</v>
      </c>
      <c r="F170" s="30">
        <v>0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121</v>
      </c>
      <c r="D171" s="28" t="s">
        <v>112</v>
      </c>
      <c r="E171" s="29">
        <v>4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370</v>
      </c>
      <c r="D173" s="28" t="s">
        <v>127</v>
      </c>
      <c r="E173" s="29">
        <v>6</v>
      </c>
      <c r="F173" s="30">
        <v>0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28" t="s">
        <v>16</v>
      </c>
      <c r="C174" s="28" t="s">
        <v>118</v>
      </c>
      <c r="D174" s="28" t="s">
        <v>19</v>
      </c>
      <c r="E174" s="29">
        <v>12</v>
      </c>
      <c r="F174" s="30">
        <v>2</v>
      </c>
      <c r="G174" s="91"/>
      <c r="H174" s="91"/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28" t="s">
        <v>16</v>
      </c>
      <c r="C175" s="28" t="s">
        <v>135</v>
      </c>
      <c r="D175" s="28" t="s">
        <v>22</v>
      </c>
      <c r="E175" s="29">
        <v>8</v>
      </c>
      <c r="F175" s="30">
        <v>2</v>
      </c>
      <c r="G175" s="87"/>
      <c r="H175" s="91"/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/>
      <c r="C176" s="28"/>
      <c r="D176" s="28"/>
      <c r="E176" s="29"/>
      <c r="F176" s="30"/>
      <c r="G176" s="91"/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/>
      <c r="C177" s="28"/>
      <c r="D177" s="28"/>
      <c r="E177" s="29"/>
      <c r="F177" s="30"/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 t="s">
        <v>17</v>
      </c>
      <c r="C178" s="28" t="s">
        <v>274</v>
      </c>
      <c r="D178" s="28" t="s">
        <v>101</v>
      </c>
      <c r="E178" s="29">
        <v>23</v>
      </c>
      <c r="F178" s="30">
        <v>0</v>
      </c>
      <c r="G178" s="91"/>
      <c r="H178" s="91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 t="s">
        <v>17</v>
      </c>
      <c r="C179" s="28" t="s">
        <v>304</v>
      </c>
      <c r="D179" s="28" t="s">
        <v>447</v>
      </c>
      <c r="E179" s="29">
        <v>24</v>
      </c>
      <c r="F179" s="30">
        <v>1</v>
      </c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278</v>
      </c>
      <c r="D180" s="28" t="s">
        <v>119</v>
      </c>
      <c r="E180" s="29">
        <v>7</v>
      </c>
      <c r="F180" s="30">
        <v>5</v>
      </c>
      <c r="G180" s="91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124</v>
      </c>
      <c r="D181" s="28" t="s">
        <v>115</v>
      </c>
      <c r="E181" s="29">
        <v>3</v>
      </c>
      <c r="F181" s="30">
        <v>0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371</v>
      </c>
      <c r="D182" s="28" t="s">
        <v>363</v>
      </c>
      <c r="E182" s="29">
        <v>1</v>
      </c>
      <c r="F182" s="30">
        <v>0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6"/>
      <c r="C183" s="106"/>
      <c r="D183" s="106"/>
      <c r="E183" s="107"/>
      <c r="F183" s="108"/>
      <c r="G183" s="87"/>
      <c r="H183" s="91"/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/>
      <c r="C184" s="28"/>
      <c r="D184" s="28"/>
      <c r="E184" s="29"/>
      <c r="F184" s="30"/>
      <c r="G184" s="87"/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6"/>
      <c r="C185" s="106"/>
      <c r="D185" s="106"/>
      <c r="E185" s="107"/>
      <c r="F185" s="108"/>
      <c r="G185" s="83"/>
      <c r="H185" s="91"/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6"/>
      <c r="C186" s="106"/>
      <c r="D186" s="106"/>
      <c r="E186" s="107"/>
      <c r="F186" s="108"/>
      <c r="G186" s="91"/>
      <c r="H186" s="91"/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/>
      <c r="C187" s="28"/>
      <c r="D187" s="28"/>
      <c r="E187" s="29"/>
      <c r="F187" s="30"/>
      <c r="G187" s="86"/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95</v>
      </c>
      <c r="F188" s="36">
        <f>SUM(F170:F187)-SUM(F167:F169)</f>
        <v>5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399</v>
      </c>
      <c r="D191" s="3" t="s">
        <v>340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140</v>
      </c>
      <c r="E194" s="14">
        <v>1</v>
      </c>
      <c r="F194" s="15">
        <v>10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316</v>
      </c>
      <c r="D197" s="28" t="s">
        <v>131</v>
      </c>
      <c r="E197" s="29">
        <v>3</v>
      </c>
      <c r="F197" s="30">
        <v>1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372</v>
      </c>
      <c r="D198" s="28" t="s">
        <v>31</v>
      </c>
      <c r="E198" s="29">
        <v>3</v>
      </c>
      <c r="F198" s="30">
        <v>0</v>
      </c>
      <c r="G198" s="87"/>
      <c r="H198" s="90"/>
      <c r="I198" s="90"/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158</v>
      </c>
      <c r="D200" s="28" t="s">
        <v>112</v>
      </c>
      <c r="E200" s="29">
        <v>10</v>
      </c>
      <c r="F200" s="30">
        <v>1</v>
      </c>
      <c r="G200" s="83"/>
      <c r="H200" s="90"/>
      <c r="I200" s="90"/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318</v>
      </c>
      <c r="D201" s="28" t="s">
        <v>34</v>
      </c>
      <c r="E201" s="29">
        <v>4</v>
      </c>
      <c r="F201" s="30">
        <v>3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138</v>
      </c>
      <c r="D202" s="28" t="s">
        <v>31</v>
      </c>
      <c r="E202" s="29">
        <v>1</v>
      </c>
      <c r="F202" s="30">
        <v>0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106" t="s">
        <v>17</v>
      </c>
      <c r="C205" s="106" t="s">
        <v>84</v>
      </c>
      <c r="D205" s="106" t="s">
        <v>78</v>
      </c>
      <c r="E205" s="107">
        <v>3</v>
      </c>
      <c r="F205" s="108">
        <v>0</v>
      </c>
      <c r="G205" s="83" t="s">
        <v>414</v>
      </c>
      <c r="H205" s="91">
        <v>46254</v>
      </c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416</v>
      </c>
      <c r="D206" s="28" t="s">
        <v>62</v>
      </c>
      <c r="E206" s="29" t="s">
        <v>413</v>
      </c>
      <c r="F206" s="30">
        <v>1</v>
      </c>
      <c r="G206" s="87">
        <v>46254</v>
      </c>
      <c r="H206" s="90"/>
      <c r="I206" s="90"/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144</v>
      </c>
      <c r="D207" s="28" t="s">
        <v>74</v>
      </c>
      <c r="E207" s="29">
        <v>10</v>
      </c>
      <c r="F207" s="30">
        <v>1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286</v>
      </c>
      <c r="D208" s="28" t="s">
        <v>63</v>
      </c>
      <c r="E208" s="29">
        <v>5</v>
      </c>
      <c r="F208" s="30">
        <v>1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77</v>
      </c>
      <c r="D209" s="28" t="s">
        <v>31</v>
      </c>
      <c r="E209" s="29">
        <v>49</v>
      </c>
      <c r="F209" s="30">
        <v>3</v>
      </c>
      <c r="G209" s="87"/>
      <c r="H209" s="91"/>
      <c r="I209" s="90"/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310</v>
      </c>
      <c r="D210" s="28" t="s">
        <v>58</v>
      </c>
      <c r="E210" s="29">
        <v>1</v>
      </c>
      <c r="F210" s="30">
        <v>0</v>
      </c>
      <c r="G210" s="87"/>
      <c r="H210" s="90"/>
      <c r="I210" s="90"/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106"/>
      <c r="C212" s="106"/>
      <c r="D212" s="106"/>
      <c r="E212" s="107"/>
      <c r="F212" s="108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106"/>
      <c r="C213" s="106"/>
      <c r="D213" s="106"/>
      <c r="E213" s="107"/>
      <c r="F213" s="108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90</v>
      </c>
      <c r="F215" s="36">
        <f>SUM(F197:F214)-SUM(F194:F196)</f>
        <v>1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157</v>
      </c>
      <c r="D218" s="3" t="s">
        <v>50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2" t="s">
        <v>13</v>
      </c>
      <c r="C221" s="13"/>
      <c r="D221" s="12" t="s">
        <v>18</v>
      </c>
      <c r="E221" s="14">
        <v>8</v>
      </c>
      <c r="F221" s="15">
        <v>1</v>
      </c>
      <c r="G221" s="80"/>
      <c r="H221" s="94"/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/>
      <c r="C222" s="21"/>
      <c r="D222" s="21"/>
      <c r="E222" s="22"/>
      <c r="F222" s="21"/>
      <c r="G222" s="94"/>
      <c r="H222" s="94"/>
      <c r="I222" s="89"/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6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373</v>
      </c>
      <c r="D224" s="28" t="s">
        <v>410</v>
      </c>
      <c r="E224" s="29">
        <v>1</v>
      </c>
      <c r="F224" s="30">
        <v>1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374</v>
      </c>
      <c r="D225" s="28" t="s">
        <v>267</v>
      </c>
      <c r="E225" s="29">
        <v>1</v>
      </c>
      <c r="F225" s="30">
        <v>0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28" t="s">
        <v>16</v>
      </c>
      <c r="C227" s="28" t="s">
        <v>303</v>
      </c>
      <c r="D227" s="28" t="s">
        <v>100</v>
      </c>
      <c r="E227" s="29">
        <v>1</v>
      </c>
      <c r="F227" s="30">
        <v>1</v>
      </c>
      <c r="G227" s="83"/>
      <c r="H227" s="91"/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106" t="s">
        <v>16</v>
      </c>
      <c r="C228" s="106" t="s">
        <v>129</v>
      </c>
      <c r="D228" s="106" t="s">
        <v>69</v>
      </c>
      <c r="E228" s="107">
        <v>1</v>
      </c>
      <c r="F228" s="108">
        <v>0</v>
      </c>
      <c r="G228" s="87" t="s">
        <v>414</v>
      </c>
      <c r="H228" s="91">
        <v>46268</v>
      </c>
      <c r="I228" s="89"/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445</v>
      </c>
      <c r="D229" s="28" t="s">
        <v>128</v>
      </c>
      <c r="E229" s="29" t="s">
        <v>413</v>
      </c>
      <c r="F229" s="30">
        <v>0</v>
      </c>
      <c r="G229" s="87">
        <v>46268</v>
      </c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28" t="s">
        <v>16</v>
      </c>
      <c r="C230" s="28" t="s">
        <v>283</v>
      </c>
      <c r="D230" s="28" t="s">
        <v>433</v>
      </c>
      <c r="E230" s="29">
        <v>6</v>
      </c>
      <c r="F230" s="30">
        <v>0</v>
      </c>
      <c r="G230" s="87"/>
      <c r="H230" s="91"/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28"/>
      <c r="C231" s="28"/>
      <c r="D231" s="28"/>
      <c r="E231" s="29"/>
      <c r="F231" s="30"/>
      <c r="G231" s="87"/>
      <c r="H231" s="91"/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17</v>
      </c>
      <c r="C232" s="28" t="s">
        <v>281</v>
      </c>
      <c r="D232" s="28" t="s">
        <v>23</v>
      </c>
      <c r="E232" s="29">
        <v>11</v>
      </c>
      <c r="F232" s="30">
        <v>1</v>
      </c>
      <c r="G232" s="87"/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263</v>
      </c>
      <c r="D233" s="28" t="s">
        <v>439</v>
      </c>
      <c r="E233" s="29">
        <v>19</v>
      </c>
      <c r="F233" s="30">
        <v>3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106" t="s">
        <v>17</v>
      </c>
      <c r="C234" s="106" t="s">
        <v>132</v>
      </c>
      <c r="D234" s="106" t="s">
        <v>18</v>
      </c>
      <c r="E234" s="107">
        <v>34</v>
      </c>
      <c r="F234" s="108">
        <v>0</v>
      </c>
      <c r="G234" s="87" t="s">
        <v>414</v>
      </c>
      <c r="H234" s="91">
        <v>46268</v>
      </c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441</v>
      </c>
      <c r="D235" s="28" t="s">
        <v>442</v>
      </c>
      <c r="E235" s="29" t="s">
        <v>413</v>
      </c>
      <c r="F235" s="30">
        <v>0</v>
      </c>
      <c r="G235" s="87">
        <v>46268</v>
      </c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275</v>
      </c>
      <c r="D236" s="28" t="s">
        <v>276</v>
      </c>
      <c r="E236" s="29">
        <v>5</v>
      </c>
      <c r="F236" s="30">
        <v>0</v>
      </c>
      <c r="G236" s="83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28" t="s">
        <v>17</v>
      </c>
      <c r="C237" s="28" t="s">
        <v>375</v>
      </c>
      <c r="D237" s="28" t="s">
        <v>123</v>
      </c>
      <c r="E237" s="29">
        <v>13</v>
      </c>
      <c r="F237" s="30">
        <v>2</v>
      </c>
      <c r="G237" s="87"/>
      <c r="H237" s="91"/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/>
      <c r="C238" s="28"/>
      <c r="D238" s="28"/>
      <c r="E238" s="29"/>
      <c r="F238" s="30"/>
      <c r="G238" s="87"/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106"/>
      <c r="C239" s="106"/>
      <c r="D239" s="106"/>
      <c r="E239" s="107"/>
      <c r="F239" s="108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106"/>
      <c r="C240" s="106"/>
      <c r="D240" s="106"/>
      <c r="E240" s="107"/>
      <c r="F240" s="108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100</v>
      </c>
      <c r="F242" s="36">
        <f>SUM(F224:F241)-SUM(F221:F223)</f>
        <v>7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134</v>
      </c>
      <c r="D245" s="3" t="s">
        <v>51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 t="s">
        <v>4</v>
      </c>
      <c r="D247" s="6" t="s">
        <v>5</v>
      </c>
      <c r="E247" s="6" t="s">
        <v>6</v>
      </c>
      <c r="F247" s="6" t="s">
        <v>7</v>
      </c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2" t="s">
        <v>13</v>
      </c>
      <c r="C248" s="13"/>
      <c r="D248" s="12" t="s">
        <v>57</v>
      </c>
      <c r="E248" s="14">
        <v>1</v>
      </c>
      <c r="F248" s="15">
        <v>6</v>
      </c>
      <c r="G248" s="80"/>
      <c r="H248" s="94"/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/>
      <c r="C249" s="21"/>
      <c r="D249" s="21"/>
      <c r="E249" s="22"/>
      <c r="F249" s="21"/>
      <c r="G249" s="86"/>
      <c r="H249" s="94"/>
      <c r="I249" s="92"/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6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376</v>
      </c>
      <c r="D251" s="28" t="s">
        <v>22</v>
      </c>
      <c r="E251" s="29">
        <v>2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68</v>
      </c>
      <c r="D252" s="28" t="s">
        <v>24</v>
      </c>
      <c r="E252" s="29">
        <v>1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377</v>
      </c>
      <c r="D254" s="28" t="s">
        <v>100</v>
      </c>
      <c r="E254" s="29">
        <v>16</v>
      </c>
      <c r="F254" s="30">
        <v>3</v>
      </c>
      <c r="G254" s="91"/>
      <c r="H254" s="91"/>
      <c r="I254" s="90"/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28" t="s">
        <v>16</v>
      </c>
      <c r="C255" s="28" t="s">
        <v>302</v>
      </c>
      <c r="D255" s="28" t="s">
        <v>52</v>
      </c>
      <c r="E255" s="29">
        <v>2</v>
      </c>
      <c r="F255" s="30">
        <v>0</v>
      </c>
      <c r="G255" s="87"/>
      <c r="H255" s="91"/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291</v>
      </c>
      <c r="D256" s="28" t="s">
        <v>80</v>
      </c>
      <c r="E256" s="29">
        <v>1</v>
      </c>
      <c r="F256" s="30">
        <v>1</v>
      </c>
      <c r="G256" s="87"/>
      <c r="H256" s="91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/>
      <c r="C257" s="28"/>
      <c r="D257" s="28"/>
      <c r="E257" s="29"/>
      <c r="F257" s="30"/>
      <c r="G257" s="87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3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 t="s">
        <v>17</v>
      </c>
      <c r="C259" s="28" t="s">
        <v>272</v>
      </c>
      <c r="D259" s="28" t="s">
        <v>117</v>
      </c>
      <c r="E259" s="29">
        <v>14</v>
      </c>
      <c r="F259" s="30">
        <v>5</v>
      </c>
      <c r="G259" s="87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280</v>
      </c>
      <c r="D260" s="28" t="s">
        <v>74</v>
      </c>
      <c r="E260" s="29">
        <v>22</v>
      </c>
      <c r="F260" s="30">
        <v>2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99</v>
      </c>
      <c r="D261" s="28" t="s">
        <v>80</v>
      </c>
      <c r="E261" s="29">
        <v>33</v>
      </c>
      <c r="F261" s="30">
        <v>2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28" t="s">
        <v>17</v>
      </c>
      <c r="C262" s="28" t="s">
        <v>264</v>
      </c>
      <c r="D262" s="28" t="s">
        <v>62</v>
      </c>
      <c r="E262" s="29">
        <v>3</v>
      </c>
      <c r="F262" s="30">
        <v>1</v>
      </c>
      <c r="G262" s="87"/>
      <c r="H262" s="91"/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83</v>
      </c>
      <c r="D263" s="28" t="s">
        <v>59</v>
      </c>
      <c r="E263" s="29">
        <v>1</v>
      </c>
      <c r="F263" s="30">
        <v>0</v>
      </c>
      <c r="G263" s="87"/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6"/>
      <c r="C264" s="106"/>
      <c r="D264" s="106"/>
      <c r="E264" s="107"/>
      <c r="F264" s="108"/>
      <c r="G264" s="87"/>
      <c r="H264" s="91"/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/>
      <c r="C265" s="28"/>
      <c r="D265" s="28"/>
      <c r="E265" s="29"/>
      <c r="F265" s="30"/>
      <c r="G265" s="83"/>
      <c r="H265" s="91"/>
      <c r="I265" s="90"/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6"/>
      <c r="C266" s="106"/>
      <c r="D266" s="106"/>
      <c r="E266" s="107"/>
      <c r="F266" s="108"/>
      <c r="G266" s="87"/>
      <c r="H266" s="91"/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106"/>
      <c r="C267" s="106"/>
      <c r="D267" s="106"/>
      <c r="E267" s="107"/>
      <c r="F267" s="108"/>
      <c r="G267" s="87"/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96</v>
      </c>
      <c r="F269" s="36">
        <f>SUM(F251:F268)-SUM(F248:F250)</f>
        <v>9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105</v>
      </c>
      <c r="D272" s="1" t="s">
        <v>92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x14ac:dyDescent="0.3">
      <c r="A275" s="79"/>
      <c r="B275" s="12" t="s">
        <v>13</v>
      </c>
      <c r="C275" s="13"/>
      <c r="D275" s="12" t="s">
        <v>292</v>
      </c>
      <c r="E275" s="14">
        <v>1</v>
      </c>
      <c r="F275" s="15">
        <v>6</v>
      </c>
      <c r="G275" s="80"/>
      <c r="H275" s="94"/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21"/>
      <c r="C276" s="21"/>
      <c r="D276" s="21"/>
      <c r="E276" s="22"/>
      <c r="F276" s="21"/>
      <c r="G276" s="86"/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400</v>
      </c>
      <c r="D278" s="28" t="s">
        <v>292</v>
      </c>
      <c r="E278" s="29">
        <v>1</v>
      </c>
      <c r="F278" s="30">
        <v>0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409</v>
      </c>
      <c r="D279" s="28" t="s">
        <v>103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401</v>
      </c>
      <c r="D281" s="28" t="s">
        <v>22</v>
      </c>
      <c r="E281" s="29">
        <v>1</v>
      </c>
      <c r="F281" s="30">
        <v>0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402</v>
      </c>
      <c r="D282" s="28" t="s">
        <v>292</v>
      </c>
      <c r="E282" s="29">
        <v>1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28" t="s">
        <v>16</v>
      </c>
      <c r="C283" s="28" t="s">
        <v>403</v>
      </c>
      <c r="D283" s="28" t="s">
        <v>52</v>
      </c>
      <c r="E283" s="29">
        <v>1</v>
      </c>
      <c r="F283" s="30">
        <v>0</v>
      </c>
      <c r="G283" s="87"/>
      <c r="H283" s="91"/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/>
      <c r="C284" s="28"/>
      <c r="D284" s="28"/>
      <c r="E284" s="29"/>
      <c r="F284" s="30"/>
      <c r="G284" s="87"/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 t="s">
        <v>17</v>
      </c>
      <c r="C286" s="28" t="s">
        <v>90</v>
      </c>
      <c r="D286" s="28" t="s">
        <v>31</v>
      </c>
      <c r="E286" s="29">
        <v>1</v>
      </c>
      <c r="F286" s="30">
        <v>1</v>
      </c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404</v>
      </c>
      <c r="D287" s="28" t="s">
        <v>101</v>
      </c>
      <c r="E287" s="29">
        <v>1</v>
      </c>
      <c r="F287" s="30">
        <v>0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120</v>
      </c>
      <c r="D288" s="28" t="s">
        <v>72</v>
      </c>
      <c r="E288" s="29">
        <v>1</v>
      </c>
      <c r="F288" s="30">
        <v>2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28" t="s">
        <v>17</v>
      </c>
      <c r="C289" s="28" t="s">
        <v>319</v>
      </c>
      <c r="D289" s="28" t="s">
        <v>112</v>
      </c>
      <c r="E289" s="29">
        <v>1</v>
      </c>
      <c r="F289" s="30">
        <v>0</v>
      </c>
      <c r="G289" s="87"/>
      <c r="H289" s="91"/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107</v>
      </c>
      <c r="D290" s="28" t="s">
        <v>103</v>
      </c>
      <c r="E290" s="29">
        <v>1</v>
      </c>
      <c r="F290" s="30">
        <v>1</v>
      </c>
      <c r="G290" s="87"/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106"/>
      <c r="C291" s="106"/>
      <c r="D291" s="106"/>
      <c r="E291" s="107"/>
      <c r="F291" s="108"/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/>
      <c r="C292" s="28"/>
      <c r="D292" s="28"/>
      <c r="E292" s="29"/>
      <c r="F292" s="30"/>
      <c r="G292" s="87"/>
      <c r="H292" s="91"/>
      <c r="I292" s="90"/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106"/>
      <c r="C293" s="106"/>
      <c r="D293" s="106"/>
      <c r="E293" s="107"/>
      <c r="F293" s="108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106"/>
      <c r="C294" s="106"/>
      <c r="D294" s="106"/>
      <c r="E294" s="107"/>
      <c r="F294" s="108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11</v>
      </c>
      <c r="F296" s="36">
        <f>SUM(F278:F295)-SUM(F275:F276)</f>
        <v>-2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5"/>
      <c r="F297" s="104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139</v>
      </c>
      <c r="D299" s="1" t="s">
        <v>79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thickBot="1" x14ac:dyDescent="0.35">
      <c r="A302" s="79"/>
      <c r="B302" s="114" t="s">
        <v>13</v>
      </c>
      <c r="C302" s="115"/>
      <c r="D302" s="114" t="s">
        <v>53</v>
      </c>
      <c r="E302" s="116">
        <v>1</v>
      </c>
      <c r="F302" s="117">
        <v>6</v>
      </c>
      <c r="G302" s="80" t="s">
        <v>414</v>
      </c>
      <c r="H302" s="91">
        <v>46261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2" t="s">
        <v>13</v>
      </c>
      <c r="C303" s="21"/>
      <c r="D303" s="21" t="s">
        <v>63</v>
      </c>
      <c r="E303" s="22" t="s">
        <v>413</v>
      </c>
      <c r="F303" s="21">
        <v>2</v>
      </c>
      <c r="G303" s="87">
        <v>46261</v>
      </c>
      <c r="H303" s="91"/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/>
      <c r="C304" s="21"/>
      <c r="D304" s="21"/>
      <c r="E304" s="22"/>
      <c r="F304" s="21"/>
      <c r="G304" s="87"/>
      <c r="H304" s="92"/>
      <c r="I304" s="90"/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102</v>
      </c>
      <c r="D305" s="28" t="s">
        <v>71</v>
      </c>
      <c r="E305" s="29">
        <v>1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405</v>
      </c>
      <c r="D306" s="28" t="s">
        <v>161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378</v>
      </c>
      <c r="D308" s="28" t="s">
        <v>94</v>
      </c>
      <c r="E308" s="29">
        <v>1</v>
      </c>
      <c r="F308" s="30">
        <v>2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6" t="s">
        <v>16</v>
      </c>
      <c r="C309" s="106" t="s">
        <v>379</v>
      </c>
      <c r="D309" s="106" t="s">
        <v>131</v>
      </c>
      <c r="E309" s="107">
        <v>1</v>
      </c>
      <c r="F309" s="108">
        <v>0</v>
      </c>
      <c r="G309" s="87" t="s">
        <v>414</v>
      </c>
      <c r="H309" s="91">
        <v>46268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436</v>
      </c>
      <c r="D310" s="77" t="s">
        <v>352</v>
      </c>
      <c r="E310" s="29" t="s">
        <v>413</v>
      </c>
      <c r="F310" s="30">
        <v>0</v>
      </c>
      <c r="G310" s="87">
        <v>46268</v>
      </c>
      <c r="H310" s="91"/>
      <c r="I310" s="90"/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28" t="s">
        <v>16</v>
      </c>
      <c r="C311" s="28" t="s">
        <v>380</v>
      </c>
      <c r="D311" s="77" t="s">
        <v>267</v>
      </c>
      <c r="E311" s="29">
        <v>1</v>
      </c>
      <c r="F311" s="30">
        <v>1</v>
      </c>
      <c r="G311" s="83"/>
      <c r="H311" s="91"/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/>
      <c r="C312" s="28"/>
      <c r="D312" s="28"/>
      <c r="E312" s="29"/>
      <c r="F312" s="30"/>
      <c r="G312" s="87"/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 t="s">
        <v>17</v>
      </c>
      <c r="C313" s="28" t="s">
        <v>60</v>
      </c>
      <c r="D313" s="28" t="s">
        <v>22</v>
      </c>
      <c r="E313" s="29">
        <v>78</v>
      </c>
      <c r="F313" s="30">
        <v>3</v>
      </c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106" t="s">
        <v>17</v>
      </c>
      <c r="C314" s="106" t="s">
        <v>381</v>
      </c>
      <c r="D314" s="106" t="s">
        <v>292</v>
      </c>
      <c r="E314" s="107">
        <v>1</v>
      </c>
      <c r="F314" s="108">
        <v>0</v>
      </c>
      <c r="G314" s="87" t="s">
        <v>414</v>
      </c>
      <c r="H314" s="91">
        <v>46268</v>
      </c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28" t="s">
        <v>17</v>
      </c>
      <c r="C315" s="28" t="s">
        <v>437</v>
      </c>
      <c r="D315" s="28" t="s">
        <v>292</v>
      </c>
      <c r="E315" s="29" t="s">
        <v>413</v>
      </c>
      <c r="F315" s="30">
        <v>0</v>
      </c>
      <c r="G315" s="87">
        <v>46268</v>
      </c>
      <c r="H315" s="91"/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289</v>
      </c>
      <c r="D316" s="28" t="s">
        <v>20</v>
      </c>
      <c r="E316" s="29">
        <v>1</v>
      </c>
      <c r="F316" s="30">
        <v>0</v>
      </c>
      <c r="G316" s="87"/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320</v>
      </c>
      <c r="D317" s="28" t="s">
        <v>161</v>
      </c>
      <c r="E317" s="29">
        <v>1</v>
      </c>
      <c r="F317" s="30">
        <v>0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6" t="s">
        <v>17</v>
      </c>
      <c r="C318" s="106" t="s">
        <v>382</v>
      </c>
      <c r="D318" s="106" t="s">
        <v>279</v>
      </c>
      <c r="E318" s="107">
        <v>1</v>
      </c>
      <c r="F318" s="108">
        <v>0</v>
      </c>
      <c r="G318" s="83" t="s">
        <v>414</v>
      </c>
      <c r="H318" s="91">
        <v>46268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438</v>
      </c>
      <c r="D319" s="28" t="s">
        <v>439</v>
      </c>
      <c r="E319" s="29" t="s">
        <v>413</v>
      </c>
      <c r="F319" s="30">
        <v>0</v>
      </c>
      <c r="G319" s="87">
        <v>46268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6"/>
      <c r="C320" s="106"/>
      <c r="D320" s="106"/>
      <c r="E320" s="107"/>
      <c r="F320" s="108"/>
      <c r="G320" s="87"/>
      <c r="H320" s="91"/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106"/>
      <c r="C321" s="106"/>
      <c r="D321" s="106"/>
      <c r="E321" s="107"/>
      <c r="F321" s="108"/>
      <c r="G321" s="87"/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0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88</v>
      </c>
      <c r="F323" s="36">
        <f>SUM(F305:F322)-SUM(F302:F304)</f>
        <v>-2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341</v>
      </c>
      <c r="D326" s="1" t="s">
        <v>322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59</v>
      </c>
      <c r="E329" s="14">
        <v>1</v>
      </c>
      <c r="F329" s="15">
        <v>6</v>
      </c>
      <c r="G329" s="83"/>
      <c r="H329" s="87"/>
      <c r="I329" s="90"/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106" t="s">
        <v>14</v>
      </c>
      <c r="C332" s="106" t="s">
        <v>384</v>
      </c>
      <c r="D332" s="106" t="s">
        <v>406</v>
      </c>
      <c r="E332" s="107">
        <v>2</v>
      </c>
      <c r="F332" s="108">
        <v>0</v>
      </c>
      <c r="G332" s="83" t="s">
        <v>414</v>
      </c>
      <c r="H332" s="91">
        <v>46261</v>
      </c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425</v>
      </c>
      <c r="D333" s="28" t="s">
        <v>23</v>
      </c>
      <c r="E333" s="29" t="s">
        <v>413</v>
      </c>
      <c r="F333" s="30">
        <v>0</v>
      </c>
      <c r="G333" s="87">
        <v>46261</v>
      </c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 t="s">
        <v>14</v>
      </c>
      <c r="C334" s="28" t="s">
        <v>383</v>
      </c>
      <c r="D334" s="28" t="s">
        <v>18</v>
      </c>
      <c r="E334" s="29">
        <v>1</v>
      </c>
      <c r="F334" s="30">
        <v>0</v>
      </c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385</v>
      </c>
      <c r="D335" s="28" t="s">
        <v>161</v>
      </c>
      <c r="E335" s="29">
        <v>10</v>
      </c>
      <c r="F335" s="30">
        <v>1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386</v>
      </c>
      <c r="D336" s="28" t="s">
        <v>123</v>
      </c>
      <c r="E336" s="29">
        <v>1</v>
      </c>
      <c r="F336" s="30">
        <v>0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106" t="s">
        <v>16</v>
      </c>
      <c r="C337" s="106" t="s">
        <v>314</v>
      </c>
      <c r="D337" s="106" t="s">
        <v>387</v>
      </c>
      <c r="E337" s="107">
        <v>1</v>
      </c>
      <c r="F337" s="108">
        <v>0</v>
      </c>
      <c r="G337" s="87" t="s">
        <v>414</v>
      </c>
      <c r="H337" s="91">
        <v>46268</v>
      </c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 t="s">
        <v>16</v>
      </c>
      <c r="C338" s="28" t="s">
        <v>448</v>
      </c>
      <c r="D338" s="28" t="s">
        <v>109</v>
      </c>
      <c r="E338" s="29" t="s">
        <v>413</v>
      </c>
      <c r="F338" s="30">
        <v>0</v>
      </c>
      <c r="G338" s="87">
        <v>46268</v>
      </c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 t="s">
        <v>17</v>
      </c>
      <c r="C340" s="28" t="s">
        <v>268</v>
      </c>
      <c r="D340" s="28" t="s">
        <v>58</v>
      </c>
      <c r="E340" s="29">
        <v>9</v>
      </c>
      <c r="F340" s="30">
        <v>4</v>
      </c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388</v>
      </c>
      <c r="D341" s="28" t="s">
        <v>345</v>
      </c>
      <c r="E341" s="29">
        <v>5</v>
      </c>
      <c r="F341" s="30">
        <v>0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389</v>
      </c>
      <c r="D342" s="28" t="s">
        <v>140</v>
      </c>
      <c r="E342" s="29">
        <v>12</v>
      </c>
      <c r="F342" s="30">
        <v>4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390</v>
      </c>
      <c r="D343" s="28" t="s">
        <v>23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391</v>
      </c>
      <c r="D344" s="28" t="s">
        <v>392</v>
      </c>
      <c r="E344" s="29">
        <v>40</v>
      </c>
      <c r="F344" s="30">
        <v>0</v>
      </c>
      <c r="G344" s="87"/>
      <c r="H344" s="91"/>
      <c r="I344" s="90"/>
      <c r="J344" s="1"/>
      <c r="N344" s="1"/>
      <c r="O344" s="1"/>
    </row>
    <row r="345" spans="1:15" ht="13.4" customHeight="1" x14ac:dyDescent="0.3">
      <c r="A345" s="79"/>
      <c r="B345" s="106"/>
      <c r="C345" s="106"/>
      <c r="D345" s="106"/>
      <c r="E345" s="107"/>
      <c r="F345" s="108"/>
      <c r="G345" s="87"/>
      <c r="H345" s="91"/>
      <c r="I345" s="90"/>
      <c r="J345" s="1"/>
      <c r="N345" s="1"/>
      <c r="O345" s="1"/>
    </row>
    <row r="346" spans="1:15" ht="13.4" customHeight="1" x14ac:dyDescent="0.3">
      <c r="A346" s="79"/>
      <c r="B346" s="28"/>
      <c r="C346" s="28"/>
      <c r="D346" s="28"/>
      <c r="E346" s="29"/>
      <c r="F346" s="30"/>
      <c r="G346" s="83"/>
      <c r="H346" s="91"/>
      <c r="I346" s="90"/>
      <c r="J346" s="1"/>
      <c r="N346" s="1"/>
      <c r="O346" s="1"/>
    </row>
    <row r="347" spans="1:15" ht="13.4" customHeight="1" x14ac:dyDescent="0.3">
      <c r="A347" s="79"/>
      <c r="B347" s="106"/>
      <c r="C347" s="106"/>
      <c r="D347" s="106"/>
      <c r="E347" s="107"/>
      <c r="F347" s="108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106"/>
      <c r="C348" s="106"/>
      <c r="D348" s="106"/>
      <c r="E348" s="107"/>
      <c r="F348" s="108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83</v>
      </c>
      <c r="F350" s="36">
        <f>SUM(F332:F349)-SUM(F329:F331)</f>
        <v>4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142</v>
      </c>
      <c r="D353" s="1" t="s">
        <v>141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112</v>
      </c>
      <c r="E356" s="14">
        <v>3</v>
      </c>
      <c r="F356" s="15">
        <v>3</v>
      </c>
      <c r="G356" s="1"/>
      <c r="H356" s="103"/>
      <c r="I356" s="1"/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393</v>
      </c>
      <c r="D359" s="28" t="s">
        <v>24</v>
      </c>
      <c r="E359" s="29">
        <v>2</v>
      </c>
      <c r="F359" s="30">
        <v>0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394</v>
      </c>
      <c r="D360" s="28" t="s">
        <v>18</v>
      </c>
      <c r="E360" s="29">
        <v>1</v>
      </c>
      <c r="F360" s="30">
        <v>0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82</v>
      </c>
      <c r="D362" s="28" t="s">
        <v>19</v>
      </c>
      <c r="E362" s="29">
        <v>15</v>
      </c>
      <c r="F362" s="30">
        <v>2</v>
      </c>
      <c r="G362" s="1"/>
      <c r="H362" s="103"/>
      <c r="I362" s="1"/>
      <c r="J362" s="1"/>
    </row>
    <row r="363" spans="2:10" ht="13.4" customHeight="1" x14ac:dyDescent="0.3">
      <c r="B363" s="28" t="s">
        <v>16</v>
      </c>
      <c r="C363" s="28" t="s">
        <v>75</v>
      </c>
      <c r="D363" s="28" t="s">
        <v>22</v>
      </c>
      <c r="E363" s="29">
        <v>5</v>
      </c>
      <c r="F363" s="30">
        <v>0</v>
      </c>
      <c r="G363" s="103"/>
      <c r="H363" s="103"/>
      <c r="I363" s="1"/>
      <c r="J363" s="1"/>
    </row>
    <row r="364" spans="2:10" ht="13.4" customHeight="1" x14ac:dyDescent="0.3">
      <c r="B364" s="106" t="s">
        <v>16</v>
      </c>
      <c r="C364" s="106" t="s">
        <v>395</v>
      </c>
      <c r="D364" s="106" t="s">
        <v>22</v>
      </c>
      <c r="E364" s="107">
        <v>1</v>
      </c>
      <c r="F364" s="108">
        <v>0</v>
      </c>
      <c r="G364" s="103" t="s">
        <v>414</v>
      </c>
      <c r="H364" s="103">
        <v>46268</v>
      </c>
      <c r="I364" s="1"/>
      <c r="J364" s="1"/>
    </row>
    <row r="365" spans="2:10" ht="13.4" customHeight="1" x14ac:dyDescent="0.3">
      <c r="B365" s="28" t="s">
        <v>16</v>
      </c>
      <c r="C365" s="28" t="s">
        <v>431</v>
      </c>
      <c r="D365" s="28" t="s">
        <v>140</v>
      </c>
      <c r="E365" s="29" t="s">
        <v>413</v>
      </c>
      <c r="F365" s="30">
        <v>0</v>
      </c>
      <c r="G365" s="103">
        <v>46268</v>
      </c>
      <c r="H365" s="103"/>
      <c r="I365" s="1"/>
      <c r="J365" s="1"/>
    </row>
    <row r="366" spans="2:10" ht="13.4" customHeight="1" x14ac:dyDescent="0.3">
      <c r="B366" s="28"/>
      <c r="C366" s="28"/>
      <c r="D366" s="28"/>
      <c r="E366" s="29"/>
      <c r="F366" s="30"/>
      <c r="G366" s="103"/>
      <c r="H366" s="103"/>
      <c r="I366" s="1"/>
      <c r="J366" s="1"/>
    </row>
    <row r="367" spans="2:10" ht="13.4" customHeight="1" x14ac:dyDescent="0.3">
      <c r="B367" s="28" t="s">
        <v>17</v>
      </c>
      <c r="C367" s="28" t="s">
        <v>307</v>
      </c>
      <c r="D367" s="28" t="s">
        <v>267</v>
      </c>
      <c r="E367" s="29">
        <v>25</v>
      </c>
      <c r="F367" s="30">
        <v>2</v>
      </c>
      <c r="G367" s="1"/>
      <c r="H367" s="103"/>
      <c r="I367" s="1"/>
      <c r="J367" s="1"/>
    </row>
    <row r="368" spans="2:10" ht="13.4" customHeight="1" x14ac:dyDescent="0.3">
      <c r="B368" s="106" t="s">
        <v>17</v>
      </c>
      <c r="C368" s="106" t="s">
        <v>130</v>
      </c>
      <c r="D368" s="106" t="s">
        <v>70</v>
      </c>
      <c r="E368" s="107">
        <v>10</v>
      </c>
      <c r="F368" s="108">
        <v>0</v>
      </c>
      <c r="G368" s="103" t="s">
        <v>414</v>
      </c>
      <c r="H368" s="103">
        <v>46268</v>
      </c>
      <c r="I368" s="1"/>
      <c r="J368" s="1"/>
    </row>
    <row r="369" spans="2:10" ht="13.4" customHeight="1" x14ac:dyDescent="0.3">
      <c r="B369" s="28" t="s">
        <v>17</v>
      </c>
      <c r="C369" s="28" t="s">
        <v>432</v>
      </c>
      <c r="D369" s="28" t="s">
        <v>34</v>
      </c>
      <c r="E369" s="29" t="s">
        <v>413</v>
      </c>
      <c r="F369" s="30">
        <v>0</v>
      </c>
      <c r="G369" s="103">
        <v>46268</v>
      </c>
      <c r="H369" s="103"/>
      <c r="I369" s="1"/>
      <c r="J369" s="1"/>
    </row>
    <row r="370" spans="2:10" ht="13.4" customHeight="1" x14ac:dyDescent="0.3">
      <c r="B370" s="106" t="s">
        <v>17</v>
      </c>
      <c r="C370" s="106" t="s">
        <v>277</v>
      </c>
      <c r="D370" s="106" t="s">
        <v>352</v>
      </c>
      <c r="E370" s="107">
        <v>1</v>
      </c>
      <c r="F370" s="108">
        <v>1</v>
      </c>
      <c r="G370" s="103" t="s">
        <v>414</v>
      </c>
      <c r="H370" s="103">
        <v>46268</v>
      </c>
      <c r="I370" s="1"/>
      <c r="J370" s="1"/>
    </row>
    <row r="371" spans="2:10" ht="13.4" customHeight="1" x14ac:dyDescent="0.3">
      <c r="B371" s="28" t="s">
        <v>17</v>
      </c>
      <c r="C371" s="28" t="s">
        <v>440</v>
      </c>
      <c r="D371" s="28" t="s">
        <v>439</v>
      </c>
      <c r="E371" s="29" t="s">
        <v>413</v>
      </c>
      <c r="F371" s="30">
        <v>0</v>
      </c>
      <c r="G371" s="103">
        <v>46268</v>
      </c>
      <c r="H371" s="103"/>
      <c r="I371" s="1"/>
      <c r="J371" s="1"/>
    </row>
    <row r="372" spans="2:10" ht="13.4" customHeight="1" x14ac:dyDescent="0.3">
      <c r="B372" s="106" t="s">
        <v>17</v>
      </c>
      <c r="C372" s="106" t="s">
        <v>396</v>
      </c>
      <c r="D372" s="106" t="s">
        <v>397</v>
      </c>
      <c r="E372" s="107">
        <v>1</v>
      </c>
      <c r="F372" s="108">
        <v>0</v>
      </c>
      <c r="G372" s="103" t="s">
        <v>414</v>
      </c>
      <c r="H372" s="103">
        <v>46254</v>
      </c>
      <c r="I372" s="1"/>
      <c r="J372" s="1"/>
    </row>
    <row r="373" spans="2:10" ht="13.4" customHeight="1" x14ac:dyDescent="0.3">
      <c r="B373" s="28" t="s">
        <v>17</v>
      </c>
      <c r="C373" s="28" t="s">
        <v>417</v>
      </c>
      <c r="D373" s="28" t="s">
        <v>73</v>
      </c>
      <c r="E373" s="29" t="s">
        <v>413</v>
      </c>
      <c r="F373" s="30">
        <v>0</v>
      </c>
      <c r="G373" s="103">
        <v>46254</v>
      </c>
      <c r="H373" s="103"/>
      <c r="I373" s="1"/>
      <c r="J373" s="1"/>
    </row>
    <row r="374" spans="2:10" ht="13.4" customHeight="1" x14ac:dyDescent="0.3">
      <c r="B374" s="28" t="s">
        <v>17</v>
      </c>
      <c r="C374" s="28" t="s">
        <v>398</v>
      </c>
      <c r="D374" s="28" t="s">
        <v>363</v>
      </c>
      <c r="E374" s="29">
        <v>20</v>
      </c>
      <c r="F374" s="30">
        <v>0</v>
      </c>
      <c r="G374" s="103"/>
      <c r="H374" s="103"/>
      <c r="I374" s="1"/>
      <c r="J374" s="1"/>
    </row>
    <row r="375" spans="2:10" ht="13.4" customHeight="1" x14ac:dyDescent="0.3">
      <c r="B375" s="106"/>
      <c r="C375" s="106"/>
      <c r="D375" s="106"/>
      <c r="E375" s="107"/>
      <c r="F375" s="108"/>
      <c r="G375" s="103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84</v>
      </c>
      <c r="F377" s="36">
        <f>SUM(F359:F376)-SUM(F356:F358)</f>
        <v>2</v>
      </c>
      <c r="G377" s="1"/>
      <c r="H377" s="1"/>
      <c r="I377" s="1"/>
      <c r="J377" s="1"/>
    </row>
    <row r="380" spans="2:10" ht="13.4" customHeight="1" x14ac:dyDescent="0.3">
      <c r="B380" s="1"/>
      <c r="C380" s="3" t="s">
        <v>86</v>
      </c>
      <c r="D380" s="3" t="s">
        <v>87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/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/>
      <c r="C386" s="28"/>
      <c r="D386" s="28"/>
      <c r="E386" s="29"/>
      <c r="F386" s="30"/>
    </row>
    <row r="387" spans="2:6" ht="13.4" customHeight="1" x14ac:dyDescent="0.3">
      <c r="B387" s="28"/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/>
      <c r="C389" s="28"/>
      <c r="D389" s="28"/>
      <c r="E389" s="29"/>
      <c r="F389" s="30"/>
    </row>
    <row r="390" spans="2:6" ht="13.4" customHeight="1" x14ac:dyDescent="0.3">
      <c r="B390" s="28"/>
      <c r="C390" s="28"/>
      <c r="D390" s="28"/>
      <c r="E390" s="29"/>
      <c r="F390" s="30"/>
    </row>
    <row r="391" spans="2:6" ht="13.4" customHeight="1" x14ac:dyDescent="0.3">
      <c r="B391" s="28"/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/>
      <c r="C395" s="28"/>
      <c r="D395" s="28"/>
      <c r="E395" s="29"/>
      <c r="F395" s="30"/>
    </row>
    <row r="396" spans="2:6" ht="13.4" customHeight="1" x14ac:dyDescent="0.3">
      <c r="B396" s="28"/>
      <c r="C396" s="28"/>
      <c r="D396" s="28"/>
      <c r="E396" s="29"/>
      <c r="F396" s="30"/>
    </row>
    <row r="397" spans="2:6" ht="13.4" customHeight="1" x14ac:dyDescent="0.3">
      <c r="B397" s="28"/>
      <c r="C397" s="28"/>
      <c r="D397" s="28"/>
      <c r="E397" s="29"/>
      <c r="F397" s="30"/>
    </row>
    <row r="398" spans="2:6" ht="13.4" customHeight="1" x14ac:dyDescent="0.3">
      <c r="B398" s="28"/>
      <c r="C398" s="28"/>
      <c r="D398" s="28"/>
      <c r="E398" s="29"/>
      <c r="F398" s="30"/>
    </row>
    <row r="399" spans="2:6" ht="13.4" customHeight="1" x14ac:dyDescent="0.3">
      <c r="B399" s="28"/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3" workbookViewId="0">
      <selection activeCell="N13" sqref="N13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35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407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54">
        <v>1</v>
      </c>
      <c r="C7" s="3" t="s">
        <v>2</v>
      </c>
      <c r="D7" s="24" t="s">
        <v>1</v>
      </c>
      <c r="E7" s="25">
        <v>12</v>
      </c>
      <c r="F7" s="26">
        <v>19</v>
      </c>
      <c r="G7" s="27">
        <v>7</v>
      </c>
      <c r="H7" s="111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30</v>
      </c>
      <c r="D8" s="55" t="s">
        <v>29</v>
      </c>
      <c r="E8" s="25">
        <v>11</v>
      </c>
      <c r="F8" s="56">
        <v>18</v>
      </c>
      <c r="G8" s="57">
        <v>7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51</v>
      </c>
      <c r="D9" s="24" t="s">
        <v>134</v>
      </c>
      <c r="E9" s="25">
        <v>9</v>
      </c>
      <c r="F9" s="26">
        <v>15</v>
      </c>
      <c r="G9" s="27">
        <v>6</v>
      </c>
      <c r="H9" s="52"/>
      <c r="I9" s="41"/>
      <c r="J9" s="41"/>
      <c r="K9" s="41"/>
    </row>
    <row r="10" spans="1:11" ht="13.5" customHeight="1" x14ac:dyDescent="0.3">
      <c r="A10" s="47"/>
      <c r="B10" s="54">
        <v>4</v>
      </c>
      <c r="C10" s="3" t="s">
        <v>50</v>
      </c>
      <c r="D10" s="24" t="s">
        <v>157</v>
      </c>
      <c r="E10" s="25">
        <v>7</v>
      </c>
      <c r="F10" s="26">
        <v>8</v>
      </c>
      <c r="G10" s="27">
        <v>1</v>
      </c>
      <c r="H10" s="111"/>
      <c r="I10" s="41"/>
      <c r="J10" s="41"/>
      <c r="K10" s="53"/>
    </row>
    <row r="11" spans="1:11" ht="13.5" customHeight="1" x14ac:dyDescent="0.3">
      <c r="A11" s="47"/>
      <c r="B11" s="54">
        <v>5</v>
      </c>
      <c r="C11" s="3" t="s">
        <v>21</v>
      </c>
      <c r="D11" s="55" t="s">
        <v>265</v>
      </c>
      <c r="E11" s="25">
        <v>5</v>
      </c>
      <c r="F11" s="26">
        <v>10</v>
      </c>
      <c r="G11" s="27">
        <v>5</v>
      </c>
      <c r="H11" s="111"/>
      <c r="I11" s="41"/>
      <c r="J11" s="41"/>
      <c r="K11" s="41"/>
    </row>
    <row r="12" spans="1:11" ht="13.5" customHeight="1" x14ac:dyDescent="0.3">
      <c r="A12" s="47"/>
      <c r="B12" s="54">
        <v>5</v>
      </c>
      <c r="C12" s="3" t="s">
        <v>33</v>
      </c>
      <c r="D12" s="24" t="s">
        <v>32</v>
      </c>
      <c r="E12" s="25">
        <v>5</v>
      </c>
      <c r="F12" s="26">
        <v>10</v>
      </c>
      <c r="G12" s="27">
        <v>5</v>
      </c>
      <c r="H12" s="52"/>
      <c r="I12" s="41"/>
      <c r="J12" s="41"/>
      <c r="K12" s="41"/>
    </row>
    <row r="13" spans="1:11" ht="13.5" customHeight="1" x14ac:dyDescent="0.3">
      <c r="A13" s="47"/>
      <c r="B13" s="54">
        <v>7</v>
      </c>
      <c r="C13" s="3" t="s">
        <v>27</v>
      </c>
      <c r="D13" s="24" t="s">
        <v>15</v>
      </c>
      <c r="E13" s="25">
        <v>5</v>
      </c>
      <c r="F13" s="26">
        <v>8</v>
      </c>
      <c r="G13" s="27">
        <v>3</v>
      </c>
      <c r="H13" s="111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322</v>
      </c>
      <c r="D14" s="55" t="s">
        <v>341</v>
      </c>
      <c r="E14" s="25">
        <v>4</v>
      </c>
      <c r="F14" s="26">
        <v>10</v>
      </c>
      <c r="G14" s="27">
        <v>6</v>
      </c>
      <c r="H14" s="111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25</v>
      </c>
      <c r="D15" s="24" t="s">
        <v>125</v>
      </c>
      <c r="E15" s="25">
        <v>3</v>
      </c>
      <c r="F15" s="26">
        <v>14</v>
      </c>
      <c r="G15" s="27">
        <v>11</v>
      </c>
      <c r="H15" s="111"/>
      <c r="I15" s="41"/>
      <c r="J15" s="41"/>
      <c r="K15" s="41"/>
    </row>
    <row r="16" spans="1:11" ht="13.5" customHeight="1" x14ac:dyDescent="0.3">
      <c r="A16" s="47"/>
      <c r="B16" s="54">
        <v>10</v>
      </c>
      <c r="C16" s="3" t="s">
        <v>141</v>
      </c>
      <c r="D16" s="55" t="s">
        <v>142</v>
      </c>
      <c r="E16" s="25">
        <v>2</v>
      </c>
      <c r="F16" s="56">
        <v>5</v>
      </c>
      <c r="G16" s="57">
        <v>3</v>
      </c>
      <c r="H16" s="52"/>
      <c r="I16" s="41"/>
      <c r="J16" s="41"/>
      <c r="K16" s="41"/>
    </row>
    <row r="17" spans="1:11" ht="12.75" customHeight="1" x14ac:dyDescent="0.3">
      <c r="A17" s="47"/>
      <c r="B17" s="54">
        <v>11</v>
      </c>
      <c r="C17" s="3" t="s">
        <v>340</v>
      </c>
      <c r="D17" s="55" t="s">
        <v>399</v>
      </c>
      <c r="E17" s="25">
        <v>1</v>
      </c>
      <c r="F17" s="56">
        <v>11</v>
      </c>
      <c r="G17" s="57">
        <v>10</v>
      </c>
      <c r="H17" s="52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79</v>
      </c>
      <c r="D18" s="55" t="s">
        <v>139</v>
      </c>
      <c r="E18" s="25">
        <v>-2</v>
      </c>
      <c r="F18" s="26">
        <v>6</v>
      </c>
      <c r="G18" s="27">
        <v>8</v>
      </c>
      <c r="H18" s="52"/>
      <c r="I18" s="41"/>
      <c r="J18" s="41"/>
      <c r="K18" s="41"/>
    </row>
    <row r="19" spans="1:11" ht="12.75" customHeight="1" x14ac:dyDescent="0.3">
      <c r="A19" s="47"/>
      <c r="B19" s="54">
        <v>13</v>
      </c>
      <c r="C19" s="3" t="s">
        <v>92</v>
      </c>
      <c r="D19" s="24" t="s">
        <v>105</v>
      </c>
      <c r="E19" s="25">
        <v>-2</v>
      </c>
      <c r="F19" s="26">
        <v>4</v>
      </c>
      <c r="G19" s="27">
        <v>6</v>
      </c>
      <c r="H19" s="52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49</v>
      </c>
      <c r="D20" s="24" t="s">
        <v>126</v>
      </c>
      <c r="E20" s="25">
        <v>-4</v>
      </c>
      <c r="F20" s="26">
        <v>2</v>
      </c>
      <c r="G20" s="27">
        <v>6</v>
      </c>
      <c r="H20" s="111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autoFilter ref="C6:G6" xr:uid="{00000000-0001-0000-0100-000000000000}">
    <sortState xmlns:xlrd2="http://schemas.microsoft.com/office/spreadsheetml/2017/richdata2" ref="C7:G20">
      <sortCondition descending="1" ref="E6"/>
    </sortState>
  </autoFilter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34"/>
  <sheetViews>
    <sheetView showGridLines="0" workbookViewId="0">
      <selection activeCell="B2" sqref="B2"/>
    </sheetView>
  </sheetViews>
  <sheetFormatPr defaultColWidth="8.796875" defaultRowHeight="12.75" customHeight="1" x14ac:dyDescent="0.3"/>
  <cols>
    <col min="2" max="2" width="33.296875" style="38" customWidth="1"/>
    <col min="3" max="3" width="10.1992187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10" ht="13.5" customHeight="1" x14ac:dyDescent="0.3">
      <c r="B1" s="62" t="s">
        <v>339</v>
      </c>
      <c r="C1" s="40"/>
      <c r="D1" s="40"/>
      <c r="E1" s="40"/>
      <c r="F1" s="40"/>
      <c r="G1" s="40"/>
    </row>
    <row r="2" spans="1:10" ht="13.5" customHeight="1" x14ac:dyDescent="0.3">
      <c r="B2" s="40"/>
      <c r="C2" s="40"/>
      <c r="D2" s="40"/>
      <c r="E2" s="40"/>
      <c r="F2" s="40"/>
      <c r="G2" s="40"/>
    </row>
    <row r="3" spans="1:10" ht="13.5" customHeight="1" x14ac:dyDescent="0.35">
      <c r="B3" s="63" t="s">
        <v>36</v>
      </c>
      <c r="C3" s="40"/>
      <c r="D3" s="40"/>
      <c r="E3" s="40"/>
      <c r="F3" s="40"/>
      <c r="G3" s="40"/>
    </row>
    <row r="4" spans="1:10" ht="13.5" customHeight="1" x14ac:dyDescent="0.3">
      <c r="A4" s="67" t="s">
        <v>40</v>
      </c>
      <c r="B4" s="68"/>
      <c r="C4" s="64"/>
      <c r="D4" s="64"/>
      <c r="E4" s="69"/>
      <c r="F4" s="100"/>
      <c r="G4" s="100"/>
      <c r="I4" s="38" t="s">
        <v>294</v>
      </c>
      <c r="J4" s="38" t="s">
        <v>295</v>
      </c>
    </row>
    <row r="5" spans="1:10" ht="13.5" customHeight="1" x14ac:dyDescent="0.3">
      <c r="A5" s="67" t="s">
        <v>41</v>
      </c>
      <c r="B5" s="68"/>
      <c r="C5" s="64"/>
      <c r="D5" s="64"/>
      <c r="E5" s="68"/>
      <c r="F5" s="64"/>
      <c r="G5" s="64"/>
      <c r="I5" s="38" t="s">
        <v>296</v>
      </c>
      <c r="J5" s="38" t="s">
        <v>297</v>
      </c>
    </row>
    <row r="6" spans="1:10" ht="13.5" customHeight="1" x14ac:dyDescent="0.3">
      <c r="A6" s="67" t="s">
        <v>42</v>
      </c>
      <c r="B6" s="69"/>
      <c r="C6" s="100"/>
      <c r="D6" s="100"/>
      <c r="E6" s="68"/>
      <c r="F6" s="64"/>
      <c r="G6" s="64"/>
      <c r="I6" s="38" t="s">
        <v>298</v>
      </c>
      <c r="J6" s="38" t="s">
        <v>299</v>
      </c>
    </row>
    <row r="7" spans="1:10" ht="13.5" customHeight="1" x14ac:dyDescent="0.3">
      <c r="A7" s="67" t="s">
        <v>43</v>
      </c>
      <c r="B7" s="68"/>
      <c r="C7" s="64"/>
      <c r="D7" s="64"/>
      <c r="E7" s="69"/>
      <c r="F7" s="100"/>
      <c r="G7" s="100"/>
      <c r="I7" s="38" t="s">
        <v>38</v>
      </c>
      <c r="J7" s="38" t="s">
        <v>300</v>
      </c>
    </row>
    <row r="8" spans="1:10" ht="13.5" customHeight="1" x14ac:dyDescent="0.3">
      <c r="A8" s="67" t="s">
        <v>44</v>
      </c>
      <c r="B8" s="69"/>
      <c r="C8" s="100"/>
      <c r="D8" s="100"/>
      <c r="E8" s="68"/>
      <c r="F8" s="64"/>
      <c r="G8" s="64"/>
    </row>
    <row r="9" spans="1:10" ht="13.5" customHeight="1" x14ac:dyDescent="0.3">
      <c r="A9" s="67" t="s">
        <v>45</v>
      </c>
      <c r="B9" s="68"/>
      <c r="C9" s="64"/>
      <c r="D9" s="64"/>
      <c r="E9" s="69"/>
      <c r="F9" s="100"/>
      <c r="G9" s="100"/>
      <c r="I9" s="38" t="s">
        <v>301</v>
      </c>
    </row>
    <row r="10" spans="1:10" ht="13.5" customHeight="1" x14ac:dyDescent="0.3">
      <c r="A10" s="67"/>
      <c r="B10" s="65"/>
      <c r="C10" s="65"/>
      <c r="D10" s="100"/>
      <c r="E10" s="70"/>
      <c r="F10" s="40"/>
      <c r="G10" s="61"/>
    </row>
    <row r="11" spans="1:10" ht="13.5" customHeight="1" x14ac:dyDescent="0.35">
      <c r="A11" s="67"/>
      <c r="B11" s="63" t="s">
        <v>305</v>
      </c>
      <c r="C11" s="68"/>
      <c r="D11" s="64"/>
      <c r="E11" s="65"/>
      <c r="F11" s="68"/>
      <c r="G11" s="64"/>
    </row>
    <row r="12" spans="1:10" ht="13.5" customHeight="1" x14ac:dyDescent="0.3">
      <c r="A12" s="67" t="s">
        <v>46</v>
      </c>
      <c r="B12" s="69"/>
      <c r="C12" s="100"/>
      <c r="D12" s="100"/>
      <c r="E12" s="68"/>
      <c r="F12" s="64"/>
      <c r="G12" s="64"/>
    </row>
    <row r="13" spans="1:10" ht="13.5" customHeight="1" x14ac:dyDescent="0.3">
      <c r="A13" s="67"/>
      <c r="B13" s="65"/>
      <c r="C13" s="68"/>
      <c r="D13" s="64"/>
      <c r="E13" s="65"/>
      <c r="F13" s="68"/>
      <c r="G13" s="64"/>
    </row>
    <row r="14" spans="1:10" ht="13.5" customHeight="1" x14ac:dyDescent="0.35">
      <c r="A14" s="67"/>
      <c r="B14" s="63" t="s">
        <v>55</v>
      </c>
      <c r="C14" s="68"/>
      <c r="D14" s="64"/>
      <c r="E14" s="70"/>
      <c r="F14" s="69"/>
      <c r="G14" s="100"/>
    </row>
    <row r="15" spans="1:10" ht="13.5" customHeight="1" x14ac:dyDescent="0.3">
      <c r="A15" s="67" t="s">
        <v>47</v>
      </c>
      <c r="B15" s="65"/>
      <c r="C15" s="64"/>
      <c r="D15" s="64"/>
      <c r="E15" s="65"/>
      <c r="F15" s="64"/>
      <c r="G15" s="64"/>
    </row>
    <row r="16" spans="1:10" ht="13.5" customHeight="1" x14ac:dyDescent="0.3">
      <c r="A16" s="67" t="s">
        <v>48</v>
      </c>
      <c r="B16" s="65"/>
      <c r="C16" s="64"/>
      <c r="D16" s="64"/>
      <c r="E16" s="70"/>
      <c r="F16" s="100"/>
      <c r="G16" s="100"/>
    </row>
    <row r="17" spans="1:7" ht="13.5" customHeight="1" x14ac:dyDescent="0.3">
      <c r="A17" s="67" t="s">
        <v>56</v>
      </c>
      <c r="B17" s="70"/>
      <c r="C17" s="100"/>
      <c r="D17" s="100"/>
      <c r="E17" s="65"/>
      <c r="F17" s="64"/>
      <c r="G17" s="64"/>
    </row>
    <row r="18" spans="1:7" ht="13.5" customHeight="1" x14ac:dyDescent="0.3">
      <c r="A18" s="67" t="s">
        <v>65</v>
      </c>
      <c r="B18" s="65"/>
      <c r="C18" s="64"/>
      <c r="D18" s="64"/>
      <c r="E18" s="70"/>
      <c r="F18" s="100"/>
      <c r="G18" s="100"/>
    </row>
    <row r="19" spans="1:7" ht="13.5" customHeight="1" x14ac:dyDescent="0.35">
      <c r="B19" s="63"/>
      <c r="C19" s="64"/>
      <c r="D19" s="64"/>
      <c r="E19" s="65"/>
      <c r="F19" s="66"/>
      <c r="G19" s="40"/>
    </row>
    <row r="20" spans="1:7" ht="13.5" customHeight="1" x14ac:dyDescent="0.35">
      <c r="A20" s="67"/>
      <c r="B20" s="63" t="s">
        <v>308</v>
      </c>
      <c r="C20" s="68"/>
      <c r="D20" s="64"/>
      <c r="E20" s="65"/>
      <c r="F20" s="68"/>
      <c r="G20" s="64"/>
    </row>
    <row r="21" spans="1:7" ht="13.5" customHeight="1" x14ac:dyDescent="0.3">
      <c r="A21" s="67" t="s">
        <v>66</v>
      </c>
      <c r="B21" s="68"/>
      <c r="C21" s="64"/>
      <c r="D21" s="64"/>
      <c r="E21" s="69"/>
      <c r="F21" s="100"/>
      <c r="G21" s="100"/>
    </row>
    <row r="22" spans="1:7" ht="13.5" customHeight="1" x14ac:dyDescent="0.3">
      <c r="B22" s="65"/>
      <c r="C22" s="64"/>
      <c r="D22" s="61"/>
      <c r="E22" s="40"/>
      <c r="F22" s="66"/>
      <c r="G22" s="40"/>
    </row>
    <row r="23" spans="1:7" ht="13.5" customHeight="1" x14ac:dyDescent="0.35">
      <c r="B23" s="63" t="s">
        <v>37</v>
      </c>
      <c r="C23" s="66"/>
      <c r="D23" s="61"/>
      <c r="E23" s="40"/>
      <c r="F23" s="66"/>
      <c r="G23" s="40"/>
    </row>
    <row r="24" spans="1:7" ht="13.5" customHeight="1" x14ac:dyDescent="0.3">
      <c r="A24" s="67" t="s">
        <v>67</v>
      </c>
      <c r="B24" s="65"/>
      <c r="C24" s="64"/>
      <c r="D24" s="64"/>
      <c r="E24" s="70"/>
      <c r="F24" s="100"/>
      <c r="G24" s="100"/>
    </row>
    <row r="25" spans="1:7" ht="13.5" customHeight="1" x14ac:dyDescent="0.3">
      <c r="A25" s="67" t="s">
        <v>85</v>
      </c>
      <c r="B25" s="65"/>
      <c r="C25" s="64"/>
      <c r="D25" s="64"/>
      <c r="E25" s="65"/>
      <c r="F25" s="64"/>
      <c r="G25" s="64"/>
    </row>
    <row r="26" spans="1:7" ht="13.5" customHeight="1" x14ac:dyDescent="0.3">
      <c r="A26" s="67"/>
      <c r="B26" s="65"/>
      <c r="C26" s="68"/>
      <c r="D26" s="64"/>
      <c r="E26" s="70"/>
      <c r="F26" s="69"/>
      <c r="G26" s="100"/>
    </row>
    <row r="27" spans="1:7" ht="13.5" customHeight="1" x14ac:dyDescent="0.35">
      <c r="A27" s="67"/>
      <c r="B27" s="63" t="s">
        <v>311</v>
      </c>
      <c r="C27" s="68"/>
      <c r="D27" s="64"/>
      <c r="E27" s="65"/>
      <c r="F27" s="68"/>
      <c r="G27" s="64"/>
    </row>
    <row r="28" spans="1:7" ht="13.5" customHeight="1" x14ac:dyDescent="0.3">
      <c r="A28" s="67" t="s">
        <v>146</v>
      </c>
      <c r="B28" s="68"/>
      <c r="C28" s="64"/>
      <c r="D28" s="64"/>
      <c r="E28" s="69"/>
      <c r="F28" s="100"/>
      <c r="G28" s="100"/>
    </row>
    <row r="29" spans="1:7" ht="13.5" customHeight="1" x14ac:dyDescent="0.3">
      <c r="B29" s="65"/>
      <c r="C29" s="65"/>
      <c r="D29" s="64"/>
      <c r="E29" s="65"/>
      <c r="F29" s="40"/>
      <c r="G29" s="40"/>
    </row>
    <row r="30" spans="1:7" ht="13.5" customHeight="1" x14ac:dyDescent="0.35">
      <c r="B30" s="63" t="s">
        <v>38</v>
      </c>
      <c r="C30" s="65"/>
      <c r="D30" s="64"/>
      <c r="E30" s="65"/>
      <c r="F30" s="40"/>
      <c r="G30" s="40"/>
    </row>
    <row r="31" spans="1:7" ht="13.5" customHeight="1" x14ac:dyDescent="0.3">
      <c r="A31" s="67" t="s">
        <v>147</v>
      </c>
      <c r="B31" s="65"/>
      <c r="C31" s="64"/>
      <c r="D31" s="64"/>
      <c r="E31" s="70"/>
      <c r="F31" s="100"/>
      <c r="G31" s="100"/>
    </row>
    <row r="32" spans="1:7" ht="13.5" customHeight="1" x14ac:dyDescent="0.3">
      <c r="B32" s="40"/>
      <c r="C32" s="40"/>
      <c r="D32" s="64"/>
      <c r="E32" s="40"/>
      <c r="F32" s="40"/>
      <c r="G32" s="40"/>
    </row>
    <row r="33" spans="2:11" ht="13.5" customHeight="1" x14ac:dyDescent="0.35">
      <c r="B33" s="63" t="s">
        <v>39</v>
      </c>
      <c r="C33" s="40"/>
      <c r="D33" s="40"/>
      <c r="E33" s="40"/>
      <c r="F33" s="40"/>
      <c r="G33" s="40"/>
      <c r="K33" s="98"/>
    </row>
    <row r="34" spans="2:11" ht="12.75" customHeight="1" x14ac:dyDescent="0.3">
      <c r="B34" s="65"/>
      <c r="C34" s="40"/>
      <c r="D34" s="40"/>
      <c r="E34" s="40"/>
      <c r="F34" s="40"/>
      <c r="G34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B2" sqref="B2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338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36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40</v>
      </c>
      <c r="B4" s="68"/>
      <c r="C4" s="64"/>
      <c r="D4" s="64"/>
      <c r="E4" s="69"/>
      <c r="F4" s="100"/>
      <c r="G4" s="100"/>
      <c r="H4" s="38"/>
      <c r="I4" s="38"/>
      <c r="J4" s="98" t="s">
        <v>259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41</v>
      </c>
      <c r="B5" s="68"/>
      <c r="C5" s="64"/>
      <c r="D5" s="64"/>
      <c r="E5" s="69"/>
      <c r="F5" s="100"/>
      <c r="G5" s="100"/>
      <c r="H5" s="38"/>
      <c r="I5" s="38"/>
      <c r="J5" s="98" t="s">
        <v>261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42</v>
      </c>
      <c r="B6" s="68"/>
      <c r="C6" s="64"/>
      <c r="D6" s="64"/>
      <c r="E6" s="69"/>
      <c r="F6" s="100"/>
      <c r="G6" s="100"/>
      <c r="H6" s="38"/>
      <c r="I6" s="38"/>
      <c r="J6" s="98" t="s">
        <v>260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43</v>
      </c>
      <c r="B7" s="68"/>
      <c r="C7" s="64"/>
      <c r="D7" s="64"/>
      <c r="E7" s="69"/>
      <c r="F7" s="100"/>
      <c r="G7" s="100"/>
      <c r="H7" s="38"/>
      <c r="I7" s="38"/>
      <c r="J7" s="98" t="s">
        <v>262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44</v>
      </c>
      <c r="B8" s="69"/>
      <c r="C8" s="100"/>
      <c r="D8" s="100"/>
      <c r="E8" s="68"/>
      <c r="F8" s="64"/>
      <c r="G8" s="64"/>
      <c r="H8" s="38"/>
      <c r="I8" s="38"/>
      <c r="J8" s="9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45</v>
      </c>
      <c r="B9" s="69"/>
      <c r="C9" s="100"/>
      <c r="D9" s="100"/>
      <c r="E9" s="68"/>
      <c r="F9" s="64"/>
      <c r="G9" s="64"/>
      <c r="H9" s="38"/>
      <c r="I9" s="38"/>
      <c r="J9" s="9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46</v>
      </c>
      <c r="B10" s="69"/>
      <c r="C10" s="100"/>
      <c r="D10" s="100"/>
      <c r="E10" s="68"/>
      <c r="F10" s="64"/>
      <c r="G10" s="64"/>
      <c r="H10" s="38"/>
      <c r="I10" s="38"/>
      <c r="J10" s="9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47</v>
      </c>
      <c r="B11" s="68"/>
      <c r="C11" s="64"/>
      <c r="D11" s="64"/>
      <c r="E11" s="68"/>
      <c r="F11" s="64"/>
      <c r="G11" s="64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48</v>
      </c>
      <c r="B12" s="69"/>
      <c r="C12" s="100"/>
      <c r="D12" s="100"/>
      <c r="E12" s="68"/>
      <c r="F12" s="64"/>
      <c r="G12" s="64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56</v>
      </c>
      <c r="B13" s="68"/>
      <c r="C13" s="64"/>
      <c r="D13" s="64"/>
      <c r="E13" s="69"/>
      <c r="F13" s="100"/>
      <c r="G13" s="100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270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65</v>
      </c>
      <c r="B16" s="68"/>
      <c r="C16" s="64"/>
      <c r="D16" s="64"/>
      <c r="E16" s="69"/>
      <c r="F16" s="100"/>
      <c r="G16" s="100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145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66</v>
      </c>
      <c r="B19" s="65"/>
      <c r="C19" s="64"/>
      <c r="D19" s="64"/>
      <c r="E19" s="70"/>
      <c r="F19" s="100"/>
      <c r="G19" s="100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67</v>
      </c>
      <c r="B20" s="65"/>
      <c r="C20" s="64"/>
      <c r="D20" s="64"/>
      <c r="E20" s="70"/>
      <c r="F20" s="100"/>
      <c r="G20" s="100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85</v>
      </c>
      <c r="B21" s="65"/>
      <c r="C21" s="64"/>
      <c r="D21" s="64"/>
      <c r="E21" s="70"/>
      <c r="F21" s="100"/>
      <c r="G21" s="100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146</v>
      </c>
      <c r="B22" s="70"/>
      <c r="C22" s="100"/>
      <c r="D22" s="100"/>
      <c r="E22" s="65"/>
      <c r="F22" s="64"/>
      <c r="G22" s="64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147</v>
      </c>
      <c r="B23" s="65"/>
      <c r="C23" s="64"/>
      <c r="D23" s="64"/>
      <c r="E23" s="70"/>
      <c r="F23" s="100"/>
      <c r="G23" s="100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148</v>
      </c>
      <c r="B24" s="65"/>
      <c r="C24" s="64"/>
      <c r="D24" s="64"/>
      <c r="E24" s="70"/>
      <c r="F24" s="100"/>
      <c r="G24" s="100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149</v>
      </c>
      <c r="B25" s="65"/>
      <c r="C25" s="64"/>
      <c r="D25" s="64"/>
      <c r="E25" s="70"/>
      <c r="F25" s="100"/>
      <c r="G25" s="100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150</v>
      </c>
      <c r="B26" s="65"/>
      <c r="C26" s="64"/>
      <c r="D26" s="64"/>
      <c r="E26" s="70"/>
      <c r="F26" s="100"/>
      <c r="G26" s="100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55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151</v>
      </c>
      <c r="B29" s="70"/>
      <c r="C29" s="100"/>
      <c r="D29" s="100"/>
      <c r="E29" s="65"/>
      <c r="F29" s="64"/>
      <c r="G29" s="64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152</v>
      </c>
      <c r="B30" s="70"/>
      <c r="C30" s="100"/>
      <c r="D30" s="100"/>
      <c r="E30" s="65"/>
      <c r="F30" s="64"/>
      <c r="G30" s="64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153</v>
      </c>
      <c r="B31" s="70"/>
      <c r="C31" s="100"/>
      <c r="D31" s="100"/>
      <c r="E31" s="65"/>
      <c r="F31" s="64"/>
      <c r="G31" s="64"/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154</v>
      </c>
      <c r="B32" s="70"/>
      <c r="C32" s="100"/>
      <c r="D32" s="100"/>
      <c r="E32" s="65"/>
      <c r="F32" s="64"/>
      <c r="G32" s="64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37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155</v>
      </c>
      <c r="B35" s="70"/>
      <c r="C35" s="100"/>
      <c r="D35" s="100"/>
      <c r="E35" s="65"/>
      <c r="F35" s="64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156</v>
      </c>
      <c r="B36" s="70"/>
      <c r="C36" s="100"/>
      <c r="D36" s="100"/>
      <c r="E36" s="65"/>
      <c r="F36" s="64"/>
      <c r="G36" s="64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38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271</v>
      </c>
      <c r="B39" s="65"/>
      <c r="C39" s="64"/>
      <c r="D39" s="64"/>
      <c r="E39" s="70"/>
      <c r="F39" s="100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39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topLeftCell="A7" workbookViewId="0">
      <selection activeCell="O30" activeCellId="3" sqref="C26 G30 K30 O30"/>
    </sheetView>
  </sheetViews>
  <sheetFormatPr defaultRowHeight="13" x14ac:dyDescent="0.3"/>
  <cols>
    <col min="2" max="2" width="14.796875" customWidth="1"/>
    <col min="6" max="6" width="13.296875" customWidth="1"/>
    <col min="10" max="10" width="17.19921875" customWidth="1"/>
    <col min="14" max="14" width="16.69921875" customWidth="1"/>
  </cols>
  <sheetData>
    <row r="5" spans="2:17" x14ac:dyDescent="0.3">
      <c r="B5" t="s">
        <v>164</v>
      </c>
      <c r="C5" t="s">
        <v>185</v>
      </c>
      <c r="F5" t="s">
        <v>187</v>
      </c>
      <c r="G5" t="s">
        <v>185</v>
      </c>
      <c r="J5" s="67" t="s">
        <v>212</v>
      </c>
      <c r="K5" t="s">
        <v>185</v>
      </c>
      <c r="N5" s="67" t="s">
        <v>237</v>
      </c>
      <c r="O5" t="s">
        <v>185</v>
      </c>
    </row>
    <row r="6" spans="2:17" x14ac:dyDescent="0.3">
      <c r="B6" t="s">
        <v>165</v>
      </c>
      <c r="C6">
        <f>COUNTIF(Stats!D:D,'Player Count'!B6)</f>
        <v>7</v>
      </c>
      <c r="F6" t="s">
        <v>188</v>
      </c>
      <c r="G6">
        <f>COUNTIF(Stats!D:D,'Player Count'!F6)</f>
        <v>2</v>
      </c>
      <c r="J6" t="s">
        <v>213</v>
      </c>
      <c r="K6">
        <f>COUNTIF(Stats!D:D,'Player Count'!J6)</f>
        <v>0</v>
      </c>
      <c r="M6" s="109"/>
      <c r="N6" s="67" t="s">
        <v>238</v>
      </c>
      <c r="O6">
        <f>COUNTIF(Stats!D:D,'Player Count'!N6)</f>
        <v>0</v>
      </c>
      <c r="Q6" s="109"/>
    </row>
    <row r="7" spans="2:17" x14ac:dyDescent="0.3">
      <c r="B7" t="s">
        <v>166</v>
      </c>
      <c r="C7">
        <f>COUNTIF(Stats!D:D,'Player Count'!B7)</f>
        <v>3</v>
      </c>
      <c r="F7" t="s">
        <v>189</v>
      </c>
      <c r="G7">
        <f>COUNTIF(Stats!D:D,'Player Count'!F7)</f>
        <v>0</v>
      </c>
      <c r="J7" t="s">
        <v>214</v>
      </c>
      <c r="K7">
        <f>COUNTIF(Stats!D:D,'Player Count'!J7)</f>
        <v>1</v>
      </c>
      <c r="M7" s="109"/>
      <c r="N7" t="s">
        <v>239</v>
      </c>
      <c r="O7">
        <f>COUNTIF(Stats!D:D,'Player Count'!N7)</f>
        <v>4</v>
      </c>
      <c r="Q7" s="109"/>
    </row>
    <row r="8" spans="2:17" x14ac:dyDescent="0.3">
      <c r="B8" t="s">
        <v>167</v>
      </c>
      <c r="C8">
        <f>COUNTIF(Stats!D:D,'Player Count'!B8)</f>
        <v>2</v>
      </c>
      <c r="F8" t="s">
        <v>190</v>
      </c>
      <c r="G8">
        <f>COUNTIF(Stats!D:D,'Player Count'!F8)</f>
        <v>2</v>
      </c>
      <c r="J8" s="67" t="s">
        <v>241</v>
      </c>
      <c r="K8">
        <f>COUNTIF(Stats!D:D,'Player Count'!J8)</f>
        <v>2</v>
      </c>
      <c r="M8" s="109"/>
      <c r="N8" t="s">
        <v>240</v>
      </c>
      <c r="O8">
        <f>COUNTIF(Stats!D:D,'Player Count'!N8)</f>
        <v>0</v>
      </c>
      <c r="Q8" s="109"/>
    </row>
    <row r="9" spans="2:17" x14ac:dyDescent="0.3">
      <c r="B9" t="s">
        <v>168</v>
      </c>
      <c r="C9">
        <f>COUNTIF(Stats!D:D,'Player Count'!B9)</f>
        <v>4</v>
      </c>
      <c r="F9" t="s">
        <v>191</v>
      </c>
      <c r="G9">
        <f>COUNTIF(Stats!D:D,'Player Count'!F9)</f>
        <v>0</v>
      </c>
      <c r="J9" s="67" t="s">
        <v>215</v>
      </c>
      <c r="K9">
        <f>COUNTIF(Stats!D:D,'Player Count'!J9)</f>
        <v>1</v>
      </c>
      <c r="M9" s="109"/>
      <c r="N9" s="67" t="s">
        <v>243</v>
      </c>
      <c r="O9">
        <f>COUNTIF(Stats!D:D,'Player Count'!N9)</f>
        <v>0</v>
      </c>
      <c r="Q9" s="109"/>
    </row>
    <row r="10" spans="2:17" x14ac:dyDescent="0.3">
      <c r="B10" t="s">
        <v>169</v>
      </c>
      <c r="C10">
        <f>COUNTIF(Stats!D:D,'Player Count'!B10)</f>
        <v>4</v>
      </c>
      <c r="F10" s="67" t="s">
        <v>170</v>
      </c>
      <c r="G10">
        <f>COUNTIF(Stats!D:D,'Player Count'!F10)</f>
        <v>0</v>
      </c>
      <c r="J10" s="67" t="s">
        <v>233</v>
      </c>
      <c r="K10">
        <f>COUNTIF(Stats!D:D,'Player Count'!J10)</f>
        <v>0</v>
      </c>
      <c r="M10" s="109"/>
      <c r="N10" t="s">
        <v>244</v>
      </c>
      <c r="O10">
        <f>COUNTIF(Stats!D:D,'Player Count'!N10)</f>
        <v>1</v>
      </c>
      <c r="Q10" s="109"/>
    </row>
    <row r="11" spans="2:17" x14ac:dyDescent="0.3">
      <c r="B11" s="67" t="s">
        <v>192</v>
      </c>
      <c r="C11">
        <f>COUNTIF(Stats!D:D,'Player Count'!B11)</f>
        <v>1</v>
      </c>
      <c r="F11" t="s">
        <v>193</v>
      </c>
      <c r="G11">
        <f>COUNTIF(Stats!D:D,'Player Count'!F11)</f>
        <v>2</v>
      </c>
      <c r="J11" s="67" t="s">
        <v>242</v>
      </c>
      <c r="K11">
        <f>COUNTIF(Stats!D:D,'Player Count'!J11)</f>
        <v>0</v>
      </c>
      <c r="M11" s="109"/>
      <c r="N11" s="67" t="s">
        <v>245</v>
      </c>
      <c r="O11">
        <f>COUNTIF(Stats!D:D,'Player Count'!N11)</f>
        <v>1</v>
      </c>
      <c r="Q11" s="109"/>
    </row>
    <row r="12" spans="2:17" x14ac:dyDescent="0.3">
      <c r="B12" t="s">
        <v>171</v>
      </c>
      <c r="C12">
        <f>COUNTIF(Stats!D:D,'Player Count'!B12)</f>
        <v>5</v>
      </c>
      <c r="F12" s="67" t="s">
        <v>232</v>
      </c>
      <c r="G12">
        <f>COUNTIF(Stats!D:D,'Player Count'!F12)</f>
        <v>1</v>
      </c>
      <c r="J12" s="67" t="s">
        <v>217</v>
      </c>
      <c r="K12">
        <f>COUNTIF(Stats!D:D,'Player Count'!J12)</f>
        <v>3</v>
      </c>
      <c r="M12" s="109"/>
      <c r="N12" s="67" t="s">
        <v>246</v>
      </c>
      <c r="O12">
        <f>COUNTIF(Stats!D:D,'Player Count'!N12)</f>
        <v>0</v>
      </c>
      <c r="Q12" s="109"/>
    </row>
    <row r="13" spans="2:17" x14ac:dyDescent="0.3">
      <c r="B13" t="s">
        <v>172</v>
      </c>
      <c r="C13">
        <f>COUNTIF(Stats!D:D,'Player Count'!B13)</f>
        <v>3</v>
      </c>
      <c r="F13" s="67" t="s">
        <v>216</v>
      </c>
      <c r="G13">
        <f>COUNTIF(Stats!D:D,'Player Count'!F13)</f>
        <v>0</v>
      </c>
      <c r="J13" s="67" t="s">
        <v>218</v>
      </c>
      <c r="K13">
        <f>COUNTIF(Stats!D:D,'Player Count'!J13)</f>
        <v>0</v>
      </c>
      <c r="M13" s="109"/>
      <c r="N13" s="67" t="s">
        <v>247</v>
      </c>
      <c r="O13">
        <f>COUNTIF(Stats!D:D,'Player Count'!N13)</f>
        <v>0</v>
      </c>
      <c r="Q13" s="109"/>
    </row>
    <row r="14" spans="2:17" x14ac:dyDescent="0.3">
      <c r="B14" t="s">
        <v>173</v>
      </c>
      <c r="C14">
        <f>COUNTIF(Stats!D:D,'Player Count'!B14)</f>
        <v>2</v>
      </c>
      <c r="F14" s="67" t="s">
        <v>221</v>
      </c>
      <c r="G14">
        <f>COUNTIF(Stats!D:D,'Player Count'!F14)</f>
        <v>0</v>
      </c>
      <c r="J14" s="67" t="s">
        <v>219</v>
      </c>
      <c r="K14">
        <f>COUNTIF(Stats!D:D,'Player Count'!J14)</f>
        <v>2</v>
      </c>
      <c r="M14" s="109"/>
      <c r="N14" s="67" t="s">
        <v>248</v>
      </c>
      <c r="O14">
        <f>COUNTIF(Stats!D:D,'Player Count'!N14)</f>
        <v>0</v>
      </c>
      <c r="Q14" s="109"/>
    </row>
    <row r="15" spans="2:17" x14ac:dyDescent="0.3">
      <c r="B15" t="s">
        <v>174</v>
      </c>
      <c r="C15">
        <f>COUNTIF(Stats!D:D,'Player Count'!B15)</f>
        <v>3</v>
      </c>
      <c r="F15" t="s">
        <v>197</v>
      </c>
      <c r="G15">
        <f>COUNTIF(Stats!D:D,'Player Count'!F15)</f>
        <v>2</v>
      </c>
      <c r="J15" t="s">
        <v>220</v>
      </c>
      <c r="K15">
        <f>COUNTIF(Stats!D:D,'Player Count'!J15)</f>
        <v>3</v>
      </c>
      <c r="M15" s="109"/>
      <c r="N15" t="s">
        <v>249</v>
      </c>
      <c r="O15">
        <f>COUNTIF(Stats!D:D,'Player Count'!N15)</f>
        <v>0</v>
      </c>
      <c r="Q15" s="109"/>
    </row>
    <row r="16" spans="2:17" x14ac:dyDescent="0.3">
      <c r="B16" t="s">
        <v>175</v>
      </c>
      <c r="C16">
        <f>COUNTIF(Stats!D:D,'Player Count'!B16)</f>
        <v>2</v>
      </c>
      <c r="F16" t="s">
        <v>198</v>
      </c>
      <c r="G16">
        <f>COUNTIF(Stats!D:D,'Player Count'!F16)</f>
        <v>1</v>
      </c>
      <c r="J16" s="67" t="s">
        <v>196</v>
      </c>
      <c r="K16">
        <f>COUNTIF(Stats!D:D,'Player Count'!J16)</f>
        <v>6</v>
      </c>
      <c r="M16" s="109"/>
      <c r="N16" s="67" t="s">
        <v>257</v>
      </c>
      <c r="O16">
        <f>COUNTIF(Stats!D:D,'Player Count'!N16)</f>
        <v>4</v>
      </c>
      <c r="Q16" s="109"/>
    </row>
    <row r="17" spans="2:17" x14ac:dyDescent="0.3">
      <c r="B17" t="s">
        <v>176</v>
      </c>
      <c r="C17">
        <f>COUNTIF(Stats!D:D,'Player Count'!B17)</f>
        <v>7</v>
      </c>
      <c r="F17" t="s">
        <v>199</v>
      </c>
      <c r="G17">
        <f>COUNTIF(Stats!D:D,'Player Count'!F17)</f>
        <v>2</v>
      </c>
      <c r="J17" s="67" t="s">
        <v>222</v>
      </c>
      <c r="K17">
        <f>COUNTIF(Stats!D:D,'Player Count'!J17)</f>
        <v>1</v>
      </c>
      <c r="M17" s="109"/>
      <c r="N17" s="67" t="s">
        <v>234</v>
      </c>
      <c r="O17">
        <f>COUNTIF(Stats!D:D,'Player Count'!N17)</f>
        <v>0</v>
      </c>
      <c r="Q17" s="109"/>
    </row>
    <row r="18" spans="2:17" x14ac:dyDescent="0.3">
      <c r="B18" t="s">
        <v>177</v>
      </c>
      <c r="C18">
        <f>COUNTIF(Stats!D:D,'Player Count'!B18)</f>
        <v>10</v>
      </c>
      <c r="F18" s="67" t="s">
        <v>183</v>
      </c>
      <c r="G18">
        <f>COUNTIF(Stats!D:D,'Player Count'!F18)</f>
        <v>4</v>
      </c>
      <c r="J18" s="67" t="s">
        <v>223</v>
      </c>
      <c r="K18">
        <f>COUNTIF(Stats!D:D,'Player Count'!J18)</f>
        <v>0</v>
      </c>
      <c r="M18" s="109"/>
      <c r="N18" s="67" t="s">
        <v>250</v>
      </c>
      <c r="O18">
        <f>COUNTIF(Stats!D:D,'Player Count'!N18)</f>
        <v>1</v>
      </c>
      <c r="Q18" s="109"/>
    </row>
    <row r="19" spans="2:17" x14ac:dyDescent="0.3">
      <c r="B19" t="s">
        <v>178</v>
      </c>
      <c r="C19">
        <f>COUNTIF(Stats!D:D,'Player Count'!B19)</f>
        <v>7</v>
      </c>
      <c r="F19" t="s">
        <v>201</v>
      </c>
      <c r="G19">
        <f>COUNTIF(Stats!D:D,'Player Count'!F19)</f>
        <v>1</v>
      </c>
      <c r="J19" s="67" t="s">
        <v>200</v>
      </c>
      <c r="K19">
        <f>COUNTIF(Stats!D:D,'Player Count'!J19)</f>
        <v>0</v>
      </c>
      <c r="M19" s="109"/>
      <c r="N19" t="s">
        <v>251</v>
      </c>
      <c r="O19">
        <f>COUNTIF(Stats!D:D,'Player Count'!N19)</f>
        <v>1</v>
      </c>
      <c r="Q19" s="109"/>
    </row>
    <row r="20" spans="2:17" x14ac:dyDescent="0.3">
      <c r="B20" t="s">
        <v>179</v>
      </c>
      <c r="C20">
        <f>COUNTIF(Stats!D:D,'Player Count'!B20)</f>
        <v>3</v>
      </c>
      <c r="F20" t="s">
        <v>202</v>
      </c>
      <c r="G20">
        <f>COUNTIF(Stats!D:D,'Player Count'!F20)</f>
        <v>0</v>
      </c>
      <c r="J20" s="67" t="s">
        <v>224</v>
      </c>
      <c r="K20">
        <f>COUNTIF(Stats!D:D,'Player Count'!J20)</f>
        <v>1</v>
      </c>
      <c r="M20" s="109"/>
      <c r="N20" s="67" t="s">
        <v>252</v>
      </c>
      <c r="O20">
        <f>COUNTIF(Stats!D:D,'Player Count'!N20)</f>
        <v>2</v>
      </c>
      <c r="Q20" s="109"/>
    </row>
    <row r="21" spans="2:17" x14ac:dyDescent="0.3">
      <c r="B21" t="s">
        <v>180</v>
      </c>
      <c r="C21">
        <f>COUNTIF(Stats!D:D,'Player Count'!B21)</f>
        <v>4</v>
      </c>
      <c r="F21" t="s">
        <v>203</v>
      </c>
      <c r="G21">
        <f>COUNTIF(Stats!D:D,'Player Count'!F21)</f>
        <v>2</v>
      </c>
      <c r="J21" s="67" t="s">
        <v>225</v>
      </c>
      <c r="K21">
        <f>COUNTIF(Stats!D:D,'Player Count'!J21)</f>
        <v>4</v>
      </c>
      <c r="M21" s="109"/>
      <c r="N21" s="67" t="s">
        <v>226</v>
      </c>
      <c r="O21">
        <f>COUNTIF(Stats!D:D,'Player Count'!N21)</f>
        <v>1</v>
      </c>
      <c r="Q21" s="109"/>
    </row>
    <row r="22" spans="2:17" x14ac:dyDescent="0.3">
      <c r="B22" t="s">
        <v>181</v>
      </c>
      <c r="C22">
        <f>COUNTIF(Stats!D:D,'Player Count'!B22)</f>
        <v>3</v>
      </c>
      <c r="F22" t="s">
        <v>204</v>
      </c>
      <c r="G22">
        <f>COUNTIF(Stats!D:D,'Player Count'!F22)</f>
        <v>2</v>
      </c>
      <c r="J22" s="67" t="s">
        <v>347</v>
      </c>
      <c r="K22">
        <f>COUNTIF(Stats!D:D,'Player Count'!J22)</f>
        <v>2</v>
      </c>
      <c r="M22" s="109"/>
      <c r="N22" s="67" t="s">
        <v>349</v>
      </c>
      <c r="O22">
        <f>COUNTIF(Stats!D:D,'Player Count'!N22)</f>
        <v>1</v>
      </c>
      <c r="Q22" s="109"/>
    </row>
    <row r="23" spans="2:17" x14ac:dyDescent="0.3">
      <c r="B23" t="s">
        <v>182</v>
      </c>
      <c r="C23">
        <f>COUNTIF(Stats!D:D,'Player Count'!B23)</f>
        <v>5</v>
      </c>
      <c r="F23" s="67" t="s">
        <v>184</v>
      </c>
      <c r="G23">
        <f>COUNTIF(Stats!D:D,'Player Count'!F23)</f>
        <v>5</v>
      </c>
      <c r="J23" t="s">
        <v>227</v>
      </c>
      <c r="K23">
        <f>COUNTIF(Stats!D:D,'Player Count'!J23)</f>
        <v>2</v>
      </c>
      <c r="M23" s="109"/>
      <c r="N23" s="67" t="s">
        <v>228</v>
      </c>
      <c r="O23">
        <f>COUNTIF(Stats!D:D,'Player Count'!N23)</f>
        <v>2</v>
      </c>
      <c r="Q23" s="109"/>
    </row>
    <row r="24" spans="2:17" x14ac:dyDescent="0.3">
      <c r="B24" s="67" t="s">
        <v>194</v>
      </c>
      <c r="C24">
        <f>COUNTIF(Stats!D:D,'Player Count'!B24)</f>
        <v>1</v>
      </c>
      <c r="F24" t="s">
        <v>206</v>
      </c>
      <c r="G24">
        <f>COUNTIF(Stats!D:D,'Player Count'!F24)</f>
        <v>5</v>
      </c>
      <c r="J24" s="67" t="s">
        <v>205</v>
      </c>
      <c r="K24">
        <f>COUNTIF(Stats!D:D,'Player Count'!J24)</f>
        <v>4</v>
      </c>
      <c r="M24" s="109"/>
      <c r="N24" s="67" t="s">
        <v>253</v>
      </c>
      <c r="O24">
        <f>COUNTIF(Stats!D:D,'Player Count'!N24)</f>
        <v>4</v>
      </c>
      <c r="Q24" s="109"/>
    </row>
    <row r="25" spans="2:17" x14ac:dyDescent="0.3">
      <c r="B25" s="67" t="s">
        <v>195</v>
      </c>
      <c r="C25">
        <f>COUNTIF(Stats!D:D,'Player Count'!B25)</f>
        <v>2</v>
      </c>
      <c r="F25" t="s">
        <v>207</v>
      </c>
      <c r="G25">
        <f>COUNTIF(Stats!D:D,'Player Count'!F25)</f>
        <v>1</v>
      </c>
      <c r="J25" t="s">
        <v>229</v>
      </c>
      <c r="K25">
        <f>COUNTIF(Stats!D:D,'Player Count'!J25)</f>
        <v>0</v>
      </c>
      <c r="M25" s="109"/>
      <c r="N25" s="67" t="s">
        <v>254</v>
      </c>
      <c r="O25">
        <f>COUNTIF(Stats!D:D,'Player Count'!N25)</f>
        <v>0</v>
      </c>
      <c r="Q25" s="109"/>
    </row>
    <row r="26" spans="2:17" x14ac:dyDescent="0.3">
      <c r="B26" s="78" t="s">
        <v>186</v>
      </c>
      <c r="C26" s="78">
        <f>SUM(C6:C25)</f>
        <v>78</v>
      </c>
      <c r="F26" t="s">
        <v>208</v>
      </c>
      <c r="G26">
        <f>COUNTIF(Stats!D:D,'Player Count'!F26)</f>
        <v>3</v>
      </c>
      <c r="J26" s="67" t="s">
        <v>235</v>
      </c>
      <c r="K26">
        <f>COUNTIF(Stats!D:D,'Player Count'!J26)</f>
        <v>3</v>
      </c>
      <c r="M26" s="109"/>
      <c r="N26" s="67" t="s">
        <v>255</v>
      </c>
      <c r="O26">
        <f>COUNTIF(Stats!D:D,'Player Count'!N26)</f>
        <v>1</v>
      </c>
      <c r="Q26" s="109"/>
    </row>
    <row r="27" spans="2:17" x14ac:dyDescent="0.3">
      <c r="F27" t="s">
        <v>209</v>
      </c>
      <c r="G27">
        <f>COUNTIF(Stats!D:D,'Player Count'!F27)</f>
        <v>0</v>
      </c>
      <c r="J27" s="67" t="s">
        <v>230</v>
      </c>
      <c r="K27">
        <f>COUNTIF(Stats!D:D,'Player Count'!J27)</f>
        <v>0</v>
      </c>
      <c r="M27" s="109"/>
      <c r="N27" s="67" t="s">
        <v>258</v>
      </c>
      <c r="O27">
        <f>COUNTIF(Stats!D:D,'Player Count'!N27)</f>
        <v>0</v>
      </c>
      <c r="Q27" s="109"/>
    </row>
    <row r="28" spans="2:17" x14ac:dyDescent="0.3">
      <c r="F28" t="s">
        <v>210</v>
      </c>
      <c r="G28">
        <f>COUNTIF(Stats!D:D,'Player Count'!F28)</f>
        <v>1</v>
      </c>
      <c r="J28" s="67" t="s">
        <v>231</v>
      </c>
      <c r="K28">
        <f>COUNTIF(Stats!D:D,'Player Count'!J28)</f>
        <v>0</v>
      </c>
      <c r="M28" s="109"/>
      <c r="N28" t="s">
        <v>256</v>
      </c>
      <c r="O28">
        <f>COUNTIF(Stats!D:D,'Player Count'!N28)</f>
        <v>1</v>
      </c>
      <c r="Q28" s="109"/>
    </row>
    <row r="29" spans="2:17" x14ac:dyDescent="0.3">
      <c r="F29" t="s">
        <v>211</v>
      </c>
      <c r="G29">
        <f>COUNTIF(Stats!D:D,'Player Count'!F29)</f>
        <v>2</v>
      </c>
      <c r="J29" s="67" t="s">
        <v>236</v>
      </c>
      <c r="K29">
        <f>COUNTIF(Stats!D:D,'Player Count'!J29)</f>
        <v>1</v>
      </c>
      <c r="N29" s="67" t="s">
        <v>348</v>
      </c>
      <c r="O29">
        <f>COUNTIF(Stats!D:D,'Player Count'!N29)</f>
        <v>2</v>
      </c>
    </row>
    <row r="30" spans="2:17" x14ac:dyDescent="0.3">
      <c r="B30" s="67"/>
      <c r="F30" s="78" t="s">
        <v>186</v>
      </c>
      <c r="G30" s="78">
        <f>SUM(G6:G29)</f>
        <v>38</v>
      </c>
      <c r="J30" s="78" t="s">
        <v>186</v>
      </c>
      <c r="K30" s="78">
        <f>SUM(K6:K29)</f>
        <v>36</v>
      </c>
      <c r="N30" s="78" t="s">
        <v>186</v>
      </c>
      <c r="O30" s="78">
        <f>SUM(O6:O29)</f>
        <v>26</v>
      </c>
    </row>
    <row r="32" spans="2:17" x14ac:dyDescent="0.3">
      <c r="J32" s="67"/>
      <c r="N32" s="67"/>
    </row>
    <row r="33" spans="1:15" x14ac:dyDescent="0.3">
      <c r="J33" s="67"/>
      <c r="N33" s="67"/>
    </row>
    <row r="34" spans="1:15" x14ac:dyDescent="0.3">
      <c r="J34" s="67"/>
      <c r="N34" s="67"/>
    </row>
    <row r="35" spans="1:15" x14ac:dyDescent="0.3">
      <c r="N35" s="67"/>
    </row>
    <row r="38" spans="1:15" x14ac:dyDescent="0.3">
      <c r="A38" s="67" t="s">
        <v>266</v>
      </c>
      <c r="C38" s="110">
        <f>C26/SUM(C26,G30,K30,O30)</f>
        <v>0.43820224719101125</v>
      </c>
      <c r="D38" s="110"/>
      <c r="E38" s="110"/>
      <c r="F38" s="110"/>
      <c r="G38" s="110">
        <f>G30/SUM(C26,G30,K30,O30)</f>
        <v>0.21348314606741572</v>
      </c>
      <c r="H38" s="110"/>
      <c r="I38" s="110"/>
      <c r="J38" s="110"/>
      <c r="K38" s="110">
        <f>K30/SUM(C26,G30,K30,O30)</f>
        <v>0.20224719101123595</v>
      </c>
      <c r="L38" s="110"/>
      <c r="M38" s="110"/>
      <c r="N38" s="110"/>
      <c r="O38" s="110">
        <f>O30/SUM(C26,G30,K30,O30)</f>
        <v>0.14606741573033707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21281-8B79-41B3-9112-AACE92CCAA98}">
  <dimension ref="F5:X19"/>
  <sheetViews>
    <sheetView topLeftCell="E1" workbookViewId="0">
      <selection activeCell="X15" sqref="X15"/>
    </sheetView>
  </sheetViews>
  <sheetFormatPr defaultRowHeight="13" x14ac:dyDescent="0.3"/>
  <cols>
    <col min="6" max="6" width="27" customWidth="1"/>
    <col min="8" max="8" width="10.5" customWidth="1"/>
    <col min="9" max="9" width="9.296875" customWidth="1"/>
  </cols>
  <sheetData>
    <row r="5" spans="6:24" x14ac:dyDescent="0.3">
      <c r="G5" s="67" t="s">
        <v>321</v>
      </c>
      <c r="H5" s="67" t="s">
        <v>324</v>
      </c>
      <c r="I5" s="67" t="s">
        <v>325</v>
      </c>
      <c r="J5" s="67" t="s">
        <v>326</v>
      </c>
      <c r="K5" s="67" t="s">
        <v>327</v>
      </c>
      <c r="L5" s="67" t="s">
        <v>328</v>
      </c>
      <c r="M5" s="67" t="s">
        <v>329</v>
      </c>
      <c r="N5" s="67" t="s">
        <v>330</v>
      </c>
      <c r="O5" s="67" t="s">
        <v>331</v>
      </c>
      <c r="P5" s="67" t="s">
        <v>332</v>
      </c>
      <c r="Q5" s="67" t="s">
        <v>333</v>
      </c>
      <c r="R5" s="67" t="s">
        <v>334</v>
      </c>
      <c r="S5" s="67" t="s">
        <v>334</v>
      </c>
      <c r="T5" s="67" t="s">
        <v>335</v>
      </c>
      <c r="U5" s="67" t="s">
        <v>336</v>
      </c>
      <c r="V5" s="67" t="s">
        <v>337</v>
      </c>
      <c r="W5" s="67" t="s">
        <v>186</v>
      </c>
    </row>
    <row r="6" spans="6:24" x14ac:dyDescent="0.3">
      <c r="F6" t="s">
        <v>79</v>
      </c>
      <c r="G6" s="113">
        <v>-20</v>
      </c>
      <c r="H6" s="113">
        <v>-10</v>
      </c>
      <c r="I6" s="113">
        <v>170</v>
      </c>
      <c r="J6" s="113">
        <v>60</v>
      </c>
      <c r="K6" s="113">
        <v>10</v>
      </c>
      <c r="L6" s="113"/>
      <c r="M6" s="113"/>
      <c r="N6" s="113">
        <v>10</v>
      </c>
      <c r="O6" s="113">
        <v>-5</v>
      </c>
      <c r="P6" s="113"/>
      <c r="Q6" s="113"/>
      <c r="R6" s="113"/>
      <c r="S6" s="113"/>
      <c r="T6" s="113"/>
      <c r="U6" s="113">
        <v>5</v>
      </c>
      <c r="V6" s="113">
        <v>60</v>
      </c>
      <c r="W6" s="113">
        <f>SUM(G6:V6)</f>
        <v>280</v>
      </c>
      <c r="X6" s="67" t="s">
        <v>408</v>
      </c>
    </row>
    <row r="7" spans="6:24" x14ac:dyDescent="0.3">
      <c r="F7" t="s">
        <v>49</v>
      </c>
      <c r="G7" s="113">
        <v>-20</v>
      </c>
      <c r="H7" s="113">
        <v>-10</v>
      </c>
      <c r="I7" s="113">
        <v>40</v>
      </c>
      <c r="J7" s="113">
        <v>200</v>
      </c>
      <c r="K7" s="113"/>
      <c r="L7" s="113"/>
      <c r="M7" s="113"/>
      <c r="N7" s="113"/>
      <c r="O7" s="113">
        <v>-5</v>
      </c>
      <c r="P7" s="113"/>
      <c r="Q7" s="113"/>
      <c r="R7" s="113"/>
      <c r="S7" s="113"/>
      <c r="T7" s="113"/>
      <c r="U7" s="113">
        <v>10</v>
      </c>
      <c r="V7" s="113">
        <v>-5</v>
      </c>
      <c r="W7" s="113">
        <f t="shared" ref="W7:W19" si="0">SUM(G7:V7)</f>
        <v>210</v>
      </c>
      <c r="X7" s="67" t="s">
        <v>408</v>
      </c>
    </row>
    <row r="8" spans="6:24" x14ac:dyDescent="0.3">
      <c r="F8" t="s">
        <v>21</v>
      </c>
      <c r="G8" s="113">
        <v>-20</v>
      </c>
      <c r="H8" s="113">
        <v>-10</v>
      </c>
      <c r="I8" s="113">
        <v>10</v>
      </c>
      <c r="J8" s="113"/>
      <c r="K8" s="113"/>
      <c r="L8" s="113"/>
      <c r="M8" s="113"/>
      <c r="N8" s="113"/>
      <c r="O8" s="113">
        <v>45</v>
      </c>
      <c r="P8" s="113">
        <v>-5</v>
      </c>
      <c r="Q8" s="113"/>
      <c r="R8" s="113"/>
      <c r="S8" s="113"/>
      <c r="T8" s="113"/>
      <c r="U8" s="113"/>
      <c r="V8" s="113">
        <v>-5</v>
      </c>
      <c r="W8" s="113">
        <f t="shared" si="0"/>
        <v>15</v>
      </c>
    </row>
    <row r="9" spans="6:24" x14ac:dyDescent="0.3">
      <c r="F9" t="s">
        <v>30</v>
      </c>
      <c r="G9" s="113">
        <v>-20</v>
      </c>
      <c r="H9" s="113">
        <v>-10</v>
      </c>
      <c r="I9" s="113"/>
      <c r="J9" s="113"/>
      <c r="K9" s="113"/>
      <c r="L9" s="113"/>
      <c r="M9" s="113"/>
      <c r="N9" s="113">
        <v>-5</v>
      </c>
      <c r="O9" s="113">
        <v>-5</v>
      </c>
      <c r="P9" s="113">
        <v>-5</v>
      </c>
      <c r="Q9" s="113">
        <v>15</v>
      </c>
      <c r="R9" s="113">
        <v>50</v>
      </c>
      <c r="S9" s="113"/>
      <c r="T9" s="113"/>
      <c r="U9" s="113"/>
      <c r="V9" s="113">
        <v>-5</v>
      </c>
      <c r="W9" s="113">
        <f t="shared" si="0"/>
        <v>15</v>
      </c>
    </row>
    <row r="10" spans="6:24" x14ac:dyDescent="0.3">
      <c r="F10" t="s">
        <v>2</v>
      </c>
      <c r="G10" s="113">
        <v>-20</v>
      </c>
      <c r="H10" s="113">
        <v>-10</v>
      </c>
      <c r="I10" s="113"/>
      <c r="J10" s="113"/>
      <c r="K10" s="113"/>
      <c r="L10" s="113"/>
      <c r="M10" s="113"/>
      <c r="N10" s="113"/>
      <c r="O10" s="113">
        <v>-5</v>
      </c>
      <c r="P10" s="113">
        <v>25</v>
      </c>
      <c r="Q10" s="113">
        <v>-5</v>
      </c>
      <c r="R10" s="113">
        <v>-50</v>
      </c>
      <c r="S10" s="113">
        <v>-5</v>
      </c>
      <c r="T10" s="113"/>
      <c r="U10" s="113">
        <v>10</v>
      </c>
      <c r="V10" s="113">
        <v>-5</v>
      </c>
      <c r="W10" s="113">
        <f>SUM(G10:V10)</f>
        <v>-65</v>
      </c>
      <c r="X10" s="67" t="s">
        <v>408</v>
      </c>
    </row>
    <row r="11" spans="6:24" x14ac:dyDescent="0.3">
      <c r="F11" t="s">
        <v>27</v>
      </c>
      <c r="G11" s="113">
        <v>-20</v>
      </c>
      <c r="H11" s="113">
        <v>-10</v>
      </c>
      <c r="I11" s="113"/>
      <c r="J11" s="113"/>
      <c r="K11" s="113"/>
      <c r="L11" s="113">
        <v>5</v>
      </c>
      <c r="M11" s="113"/>
      <c r="N11" s="113"/>
      <c r="O11" s="113">
        <v>-5</v>
      </c>
      <c r="P11" s="113"/>
      <c r="Q11" s="113"/>
      <c r="R11" s="113"/>
      <c r="S11" s="113"/>
      <c r="T11" s="113"/>
      <c r="U11" s="113">
        <v>-10</v>
      </c>
      <c r="V11" s="113">
        <v>-5</v>
      </c>
      <c r="W11" s="113">
        <f t="shared" si="0"/>
        <v>-45</v>
      </c>
      <c r="X11" s="67" t="s">
        <v>408</v>
      </c>
    </row>
    <row r="12" spans="6:24" x14ac:dyDescent="0.3">
      <c r="F12" t="s">
        <v>51</v>
      </c>
      <c r="G12" s="113">
        <v>-20</v>
      </c>
      <c r="H12" s="113">
        <v>-10</v>
      </c>
      <c r="I12" s="113"/>
      <c r="J12" s="113">
        <v>60</v>
      </c>
      <c r="K12" s="113">
        <v>-10</v>
      </c>
      <c r="L12" s="113"/>
      <c r="M12" s="113"/>
      <c r="N12" s="113"/>
      <c r="O12" s="113"/>
      <c r="P12" s="113">
        <v>-5</v>
      </c>
      <c r="Q12" s="113"/>
      <c r="R12" s="113"/>
      <c r="S12" s="113">
        <v>5</v>
      </c>
      <c r="T12" s="113"/>
      <c r="U12" s="113">
        <v>-10</v>
      </c>
      <c r="V12" s="113">
        <v>-5</v>
      </c>
      <c r="W12" s="113">
        <f t="shared" si="0"/>
        <v>5</v>
      </c>
      <c r="X12" s="67" t="s">
        <v>408</v>
      </c>
    </row>
    <row r="13" spans="6:24" x14ac:dyDescent="0.3">
      <c r="F13" t="s">
        <v>25</v>
      </c>
      <c r="G13" s="113">
        <v>-20</v>
      </c>
      <c r="H13" s="113">
        <v>-10</v>
      </c>
      <c r="I13" s="113"/>
      <c r="J13" s="113"/>
      <c r="K13" s="113"/>
      <c r="L13" s="113"/>
      <c r="M13" s="113"/>
      <c r="N13" s="113"/>
      <c r="O13" s="113"/>
      <c r="P13" s="113"/>
      <c r="Q13" s="113"/>
      <c r="R13" s="113"/>
      <c r="S13" s="113"/>
      <c r="T13" s="113"/>
      <c r="U13" s="113"/>
      <c r="V13" s="113">
        <v>-5</v>
      </c>
      <c r="W13" s="113">
        <f t="shared" si="0"/>
        <v>-35</v>
      </c>
      <c r="X13" s="67" t="s">
        <v>408</v>
      </c>
    </row>
    <row r="14" spans="6:24" x14ac:dyDescent="0.3">
      <c r="F14" t="s">
        <v>50</v>
      </c>
      <c r="G14" s="113">
        <v>-20</v>
      </c>
      <c r="H14" s="113">
        <v>-10</v>
      </c>
      <c r="I14" s="113"/>
      <c r="J14" s="113"/>
      <c r="K14" s="113"/>
      <c r="L14" s="113">
        <v>-5</v>
      </c>
      <c r="M14" s="113">
        <v>5</v>
      </c>
      <c r="N14" s="113"/>
      <c r="O14" s="113">
        <v>-5</v>
      </c>
      <c r="P14" s="113"/>
      <c r="Q14" s="113"/>
      <c r="R14" s="113"/>
      <c r="S14" s="113"/>
      <c r="T14" s="113">
        <v>-5</v>
      </c>
      <c r="U14" s="113"/>
      <c r="V14" s="113">
        <v>-5</v>
      </c>
      <c r="W14" s="113">
        <f t="shared" si="0"/>
        <v>-45</v>
      </c>
      <c r="X14" s="67" t="s">
        <v>408</v>
      </c>
    </row>
    <row r="15" spans="6:24" x14ac:dyDescent="0.3">
      <c r="F15" t="s">
        <v>141</v>
      </c>
      <c r="G15" s="113">
        <v>-20</v>
      </c>
      <c r="H15" s="113">
        <v>-10</v>
      </c>
      <c r="I15" s="113"/>
      <c r="J15" s="113"/>
      <c r="K15" s="113"/>
      <c r="L15" s="113"/>
      <c r="M15" s="113"/>
      <c r="N15" s="113"/>
      <c r="O15" s="113">
        <v>-5</v>
      </c>
      <c r="P15" s="113">
        <v>-5</v>
      </c>
      <c r="Q15" s="113">
        <v>-5</v>
      </c>
      <c r="R15" s="113"/>
      <c r="S15" s="113"/>
      <c r="T15" s="113">
        <v>5</v>
      </c>
      <c r="U15" s="113">
        <v>15</v>
      </c>
      <c r="V15" s="113">
        <v>-5</v>
      </c>
      <c r="W15" s="113">
        <f t="shared" si="0"/>
        <v>-30</v>
      </c>
    </row>
    <row r="16" spans="6:24" x14ac:dyDescent="0.3">
      <c r="F16" t="s">
        <v>33</v>
      </c>
      <c r="G16" s="113">
        <v>-20</v>
      </c>
      <c r="H16" s="113">
        <v>-10</v>
      </c>
      <c r="I16" s="113"/>
      <c r="J16" s="113"/>
      <c r="K16" s="113"/>
      <c r="L16" s="113"/>
      <c r="M16" s="113">
        <v>-5</v>
      </c>
      <c r="N16" s="113">
        <v>-5</v>
      </c>
      <c r="O16" s="113">
        <v>-5</v>
      </c>
      <c r="P16" s="113">
        <v>-5</v>
      </c>
      <c r="Q16" s="113">
        <v>-5</v>
      </c>
      <c r="R16" s="113"/>
      <c r="S16" s="113"/>
      <c r="T16" s="113"/>
      <c r="U16" s="113"/>
      <c r="V16" s="113">
        <v>-5</v>
      </c>
      <c r="W16" s="113">
        <f t="shared" si="0"/>
        <v>-60</v>
      </c>
      <c r="X16" s="67" t="s">
        <v>408</v>
      </c>
    </row>
    <row r="17" spans="6:24" x14ac:dyDescent="0.3">
      <c r="F17" t="s">
        <v>92</v>
      </c>
      <c r="G17" s="113">
        <v>-20</v>
      </c>
      <c r="H17" s="113">
        <v>-10</v>
      </c>
      <c r="I17" s="113"/>
      <c r="J17" s="113"/>
      <c r="K17" s="113"/>
      <c r="L17" s="113"/>
      <c r="M17" s="113"/>
      <c r="N17" s="113"/>
      <c r="O17" s="113">
        <v>-5</v>
      </c>
      <c r="P17" s="113"/>
      <c r="Q17" s="113"/>
      <c r="R17" s="113"/>
      <c r="S17" s="113"/>
      <c r="T17" s="113"/>
      <c r="U17" s="113">
        <v>-20</v>
      </c>
      <c r="V17" s="113">
        <v>-5</v>
      </c>
      <c r="W17" s="113">
        <f t="shared" si="0"/>
        <v>-60</v>
      </c>
    </row>
    <row r="18" spans="6:24" x14ac:dyDescent="0.3">
      <c r="F18" s="67" t="s">
        <v>322</v>
      </c>
      <c r="G18" s="113">
        <v>-20</v>
      </c>
      <c r="H18" s="113">
        <v>-10</v>
      </c>
      <c r="I18" s="113"/>
      <c r="J18" s="113"/>
      <c r="K18" s="113"/>
      <c r="L18" s="113"/>
      <c r="M18" s="113"/>
      <c r="N18" s="113"/>
      <c r="O18" s="113"/>
      <c r="P18" s="113"/>
      <c r="Q18" s="113"/>
      <c r="R18" s="113"/>
      <c r="S18" s="113"/>
      <c r="T18" s="113"/>
      <c r="U18" s="113"/>
      <c r="V18" s="113">
        <v>-5</v>
      </c>
      <c r="W18" s="113">
        <f t="shared" si="0"/>
        <v>-35</v>
      </c>
      <c r="X18" s="67" t="s">
        <v>408</v>
      </c>
    </row>
    <row r="19" spans="6:24" x14ac:dyDescent="0.3">
      <c r="F19" s="67" t="s">
        <v>323</v>
      </c>
      <c r="G19" s="113">
        <v>-20</v>
      </c>
      <c r="H19" s="113">
        <v>-10</v>
      </c>
      <c r="I19" s="113"/>
      <c r="J19" s="113"/>
      <c r="K19" s="113"/>
      <c r="L19" s="113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>
        <f t="shared" si="0"/>
        <v>-30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Stats</vt:lpstr>
      <vt:lpstr>Table</vt:lpstr>
      <vt:lpstr>Cup</vt:lpstr>
      <vt:lpstr>BFL Challenge</vt:lpstr>
      <vt:lpstr>Player Count</vt:lpstr>
      <vt:lpstr>Bet Settlement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Coombe, Bryn</cp:lastModifiedBy>
  <cp:lastPrinted>2023-07-26T14:59:49Z</cp:lastPrinted>
  <dcterms:created xsi:type="dcterms:W3CDTF">2020-09-14T08:38:37Z</dcterms:created>
  <dcterms:modified xsi:type="dcterms:W3CDTF">2026-09-07T09:58:00Z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