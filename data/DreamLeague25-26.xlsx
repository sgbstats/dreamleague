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852" documentId="8_{C787F6C9-6D19-48E2-96AB-9D578E0B907B}" xr6:coauthVersionLast="47" xr6:coauthVersionMax="47" xr10:uidLastSave="{0B8B9F8C-906F-413A-94B8-CDA013ED4A80}"/>
  <bookViews>
    <workbookView xWindow="-110" yWindow="-110" windowWidth="19420" windowHeight="10300" firstSheet="1" activeTab="3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Table!$C$6:$G$6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<sst xmlns="http://schemas.openxmlformats.org/spreadsheetml/2006/main" count="1279" uniqueCount="529">
  <si>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</si>
  <si>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</si>
  <si>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</si>
  <si>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</si>
  <si>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</si>
  <si>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</si>
  <si>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</si>
  <si>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</si>
  <si>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</si>
  <si>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</si>
  <si>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</si>
  <si>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</si>
  <si>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</si>
  <si>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</si>
  <si>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</si>
  <si>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</si>
  <si>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</si>
  <si>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</si>
  <si>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</si>
  <si>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</si>
  <si>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</si>
  <si>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</si>
  <si>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</si>
  <si>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</si>
  <si>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</si>
  <si>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</si>
  <si>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</si>
  <si>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</si>
  <si>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</si>
  <si>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</si>
  <si>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</si>
  <si>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</si>
  <si>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</si>
  <si>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</si>
  <si>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</si>
  <si>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</si>
  <si>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</si>
  <si>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</si>
  <si>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</si>
  <si>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</si>
  <si>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</si>
  <si>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</si>
  <si>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</si>
  <si>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</si>
  <si>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</si>
  <si>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</si>
  <si>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</si>
  <si>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</si>
  <si>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</si>
  <si>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</si>
  <si>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</si>
  <si>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</si>
  <si>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</si>
  <si>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</si>
  <si>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</si>
  <si>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</si>
  <si>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</si>
  <si>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</si>
  <si>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</si>
  <si>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</si>
  <si>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</si>
  <si>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</si>
  <si>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</si>
  <si>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</si>
  <si>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</si>
  <si>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</si>
  <si>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</si>
  <si>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</si>
  <si>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</si>
  <si>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</si>
  <si>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</si>
  <si>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</si>
  <si>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</si>
  <si>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</si>
  <si>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</si>
  <si>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</si>
  <si>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</si>
  <si>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</si>
  <si>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</si>
  <si>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</si>
  <si>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</si>
  <si>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</si>
  <si>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</si>
  <si>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</si>
  <si>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</si>
  <si>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</si>
  <si>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</si>
  <si>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</si>
  <si>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</si>
  <si>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</si>
  <si>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</si>
  <si>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</si>
  <si>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</si>
  <si>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</si>
  <si>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</si>
  <si>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</si>
  <si>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</si>
  <si>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</si>
  <si>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</si>
  <si>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</si>
  <si>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</si>
  <si>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</si>
  <si>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</si>
  <si>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</si>
  <si>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</si>
  <si>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</si>
  <si>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</si>
  <si>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</si>
  <si>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</si>
  <si>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</si>
  <si>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</si>
  <si>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</si>
  <si>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</si>
  <si>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</si>
  <si>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</si>
  <si>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</si>
  <si>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</si>
  <si>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</si>
  <si>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</si>
  <si>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</si>
  <si>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</si>
  <si>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</si>
  <si>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</si>
  <si>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</si>
  <si>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</si>
  <si>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</si>
  <si>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</si>
  <si>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</si>
  <si>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</si>
  <si>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</si>
  <si>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</si>
  <si>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</si>
  <si>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</si>
  <si>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</si>
  <si>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</si>
  <si>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</si>
  <si>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</si>
  <si>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</si>
  <si>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</si>
  <si>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</si>
  <si>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</si>
  <si>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</si>
  <si>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</si>
  <si>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</si>
  <si>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</si>
  <si>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</si>
  <si>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</si>
  <si>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</si>
  <si>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</si>
  <si>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</si>
  <si>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</si>
  <si>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</si>
  <si>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</si>
  <si>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</si>
  <si>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</si>
  <si>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</si>
  <si>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</si>
  <si>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</si>
  <si>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</si>
  <si>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</si>
  <si>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</si>
  <si>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</si>
  <si>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</si>
  <si>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</si>
  <si>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</si>
  <si>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</si>
  <si>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</si>
  <si>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</si>
  <si>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</si>
  <si>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</si>
  <si>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</si>
  <si>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</si>
  <si>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</si>
  <si>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</si>
  <si>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</si>
  <si>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</si>
  <si>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</si>
  <si>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</si>
  <si>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</si>
  <si>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</si>
  <si>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</si>
  <si>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</si>
  <si>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</si>
  <si>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</si>
  <si>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</si>
  <si>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</si>
  <si>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</si>
  <si>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</si>
  <si>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</si>
  <si>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</si>
  <si>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</si>
  <si>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</si>
  <si>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</si>
  <si>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</si>
  <si>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</si>
  <si>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</si>
  <si>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</si>
  <si>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</si>
  <si>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</si>
  <si>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</si>
  <si>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</si>
  <si>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</si>
  <si>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</si>
  <si>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</si>
  <si>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</si>
  <si>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</si>
  <si>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</si>
  <si>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</si>
  <si>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</si>
  <si>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</si>
  <si>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</si>
  <si>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</si>
  <si>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</si>
  <si>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</si>
  <si>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</si>
  <si>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</si>
  <si>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</si>
  <si>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</si>
  <si>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</si>
  <si>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</si>
  <si>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</si>
  <si>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</si>
  <si>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</si>
  <si>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</si>
  <si>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</si>
  <si>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</si>
  <si>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</si>
  <si>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</si>
  <si>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</si>
  <si>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</si>
  <si>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</si>
  <si>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</si>
  <si>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</si>
  <si>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</si>
  <si>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</si>
  <si>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</si>
  <si>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</si>
  <si>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</si>
  <si>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</si>
  <si>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</si>
  <si>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</si>
  <si>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</si>
  <si>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</si>
  <si>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</si>
  <si>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</si>
  <si>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</si>
  <si>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</si>
  <si>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</si>
  <si>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</si>
  <si>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</si>
  <si>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</si>
  <si>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</si>
  <si>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</si>
  <si>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</si>
  <si>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</si>
  <si>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</si>
  <si>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</si>
  <si>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</si>
  <si>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</si>
  <si>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</si>
  <si>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</si>
  <si>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</si>
  <si>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</si>
  <si>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</si>
  <si>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</si>
  <si>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</si>
  <si>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</si>
  <si>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</si>
  <si>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</si>
  <si>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</si>
  <si>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</si>
  <si>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</si>
  <si>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</si>
  <si>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</si>
  <si>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</si>
  <si>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</si>
  <si>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</si>
  <si>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</si>
  <si>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</si>
  <si>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</si>
  <si>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</si>
  <si>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</si>
  <si>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</si>
  <si>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</si>
  <si>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</si>
  <si>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</si>
  <si>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</si>
  <si>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</si>
  <si>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</si>
  <si>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</si>
  <si>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</si>
  <si>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</si>
  <si>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</si>
  <si>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</si>
  <si>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</si>
  <si>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</si>
  <si>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</si>
  <si>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</si>
  <si>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</si>
  <si>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</si>
  <si>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</si>
  <si>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</si>
  <si>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</si>
  <si>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</si>
  <si>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</si>
  <si>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</si>
  <si>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</si>
  <si>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</si>
  <si>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</si>
  <si>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</si>
  <si>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</si>
  <si>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</si>
  <si>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</si>
  <si>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</si>
  <si>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</si>
  <si>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</si>
  <si>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</si>
  <si>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</si>
  <si>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</si>
  <si>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</si>
  <si>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</si>
  <si>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</si>
  <si>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</si>
  <si>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</si>
  <si>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</si>
  <si>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</si>
  <si>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</si>
  <si>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</si>
  <si>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</si>
  <si>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</si>
  <si>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</si>
  <si>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</si>
  <si>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</si>
  <si>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</si>
  <si>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</si>
  <si>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</si>
  <si>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</si>
  <si>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</si>
  <si>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</si>
  <si>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</si>
  <si>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</si>
  <si>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</si>
  <si>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</si>
  <si>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</si>
  <si>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</si>
  <si>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</si>
  <si>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</si>
  <si>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</si>
  <si>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</si>
  <si>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</si>
  <si>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</si>
  <si>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</si>
  <si>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</si>
  <si>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</si>
  <si>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</si>
  <si>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</si>
  <si>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</si>
  <si>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</si>
  <si>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</si>
  <si>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</si>
  <si>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</si>
  <si>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</si>
  <si>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</si>
  <si>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</si>
  <si>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</si>
  <si>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</si>
  <si>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</si>
  <si>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</si>
  <si>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</si>
  <si>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</si>
  <si>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</si>
  <si>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</si>
  <si>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</si>
  <si>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</si>
  <si>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</si>
  <si>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</si>
  <si>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</si>
  <si>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</si>
  <si>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</si>
  <si>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</si>
  <si>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</si>
  <si>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</si>
  <si>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</si>
  <si>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</si>
  <si>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</si>
  <si>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</si>
  <si>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</si>
  <si>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</si>
  <si>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</si>
  <si>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</si>
  <si>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</si>
  <si>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</si>
  <si>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</si>
  <si>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</si>
  <si>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</si>
  <si>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</si>
  <si>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</si>
  <si>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</si>
  <si>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</si>
  <si>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</si>
  <si>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</si>
  <si>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</si>
  <si>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</si>
  <si>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</si>
  <si>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</si>
  <si>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</si>
  <si>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</si>
  <si>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</si>
  <si>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</si>
  <si>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</si>
  <si>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</si>
  <si>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</si>
  <si>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</si>
  <si>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</si>
  <si>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</si>
  <si>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</si>
  <si>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</si>
  <si>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</si>
  <si>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</si>
  <si>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</si>
  <si>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</si>
  <si>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</si>
  <si>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</si>
  <si>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</si>
  <si>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</si>
  <si>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</si>
  <si>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</si>
  <si>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</si>
  <si>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</si>
  <si>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</si>
  <si>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</si>
  <si>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</si>
  <si>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</si>
  <si>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</si>
  <si>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</si>
  <si>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</si>
  <si>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</si>
  <si>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</si>
  <si>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</si>
  <si>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</si>
  <si>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</si>
  <si>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</si>
  <si>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</si>
  <si>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</si>
  <si>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</si>
  <si>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</si>
  <si>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</si>
  <si>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</si>
  <si>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</si>
  <si>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</si>
  <si>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</si>
  <si>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</si>
  <si>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</si>
  <si>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</si>
  <si>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</si>
  <si>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</si>
  <si>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</si>
  <si>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</si>
  <si>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</si>
  <si>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</si>
  <si>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</si>
  <si>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</si>
  <si>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</si>
  <si>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</si>
  <si>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</si>
  <si>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</si>
  <si>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</si>
  <si>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</si>
  <si>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</si>
  <si>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</si>
  <si>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</si>
  <si>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</si>
  <si>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</si>
  <si>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</si>
  <si>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</si>
  <si>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</si>
  <si>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</si>
  <si>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</si>
  <si>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</si>
  <si>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</si>
  <si>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</si>
  <si>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</si>
  <si>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</si>
  <si>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</si>
  <si>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</si>
  <si>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BRSTOL CITY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</si>
  <si>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</si>
  <si>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</si>
  <si>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</si>
  <si>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</si>
  <si>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</si>
  <si>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</si>
  <si>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</si>
  <si>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</si>
  <si>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</si>
  <si>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</si>
  <si>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</si>
  <si>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MILTON KEYNES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</si>
  <si>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</si>
  <si>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</si>
  <si>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</si>
  <si>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</si>
  <si>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</si>
  <si>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</si>
  <si>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</si>
  <si>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</si>
  <si>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</si>
  <si>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</si>
  <si>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</si>
  <si>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</si>
  <si>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</si>
  <si>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</si>
  <si>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</si>
  <si>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</si>
  <si>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</si>
  <si>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</si>
  <si>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</si>
  <si>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</si>
  <si>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</si>
  <si>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</si>
  <si>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</si>
  <si>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</si>
  <si>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</si>
  <si>
    <t>CALLUM PATERSON</t>
  </si>
  <si>
    <t>JACK CLARKE</t>
  </si>
  <si>
    <t>JAYDEN WAREHAM</t>
  </si>
  <si>
    <t>(5 - 2)</t>
  </si>
  <si>
    <t>(2 - 3)</t>
  </si>
  <si>
    <t>(3 - 0)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</si>
</sst>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opLeftCell="A33" zoomScaleNormal="100" workbookViewId="0">
      <selection activeCell="J51" sqref="J51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9"/>
      <c r="S4" s="119"/>
      <c r="T4" s="119"/>
      <c r="U4" s="119"/>
      <c r="V4" s="119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25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26</v>
      </c>
      <c r="N5" s="19">
        <f>SUM(F8:F25)</f>
        <v>51</v>
      </c>
      <c r="O5" s="20">
        <f>SUM(F5:F7)</f>
        <v>25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13</v>
      </c>
      <c r="N6" s="26">
        <f>SUM(F35:F52)</f>
        <v>53</v>
      </c>
      <c r="O6" s="27">
        <f>SUM(F32:F34)</f>
        <v>40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28</v>
      </c>
      <c r="N7" s="26">
        <f>SUM(F62:F79)</f>
        <v>58</v>
      </c>
      <c r="O7" s="27">
        <f>SUM(F59:F61)</f>
        <v>30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23</v>
      </c>
      <c r="N8" s="26">
        <f>SUM(F89:F106)</f>
        <v>63</v>
      </c>
      <c r="O8" s="27">
        <f>SUM(F86:F88)</f>
        <v>40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2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25</v>
      </c>
      <c r="N9" s="73">
        <f>SUM(F116:F133)</f>
        <v>60</v>
      </c>
      <c r="O9" s="74">
        <f>SUM(F113:F115)</f>
        <v>35</v>
      </c>
    </row>
    <row r="10" spans="1:22" ht="13.4" customHeight="1" x14ac:dyDescent="0.3">
      <c r="A10" s="79"/>
      <c r="B10" s="106" t="s">
        <v>16</v>
      </c>
      <c r="C10" s="106" t="s">
        <v>508</v>
      </c>
      <c r="D10" s="106" t="s">
        <v>24</v>
      </c>
      <c r="E10" s="107">
        <v>11</v>
      </c>
      <c r="F10" s="108">
        <v>4</v>
      </c>
      <c r="G10" s="87" t="s">
        <v>287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28</v>
      </c>
      <c r="N10" s="26">
        <f>SUM(F143:F160)</f>
        <v>66</v>
      </c>
      <c r="O10" s="27">
        <f>SUM(F140:F142)</f>
        <v>38</v>
      </c>
      <c r="R10" s="119"/>
      <c r="S10" s="119"/>
      <c r="T10" s="119"/>
      <c r="U10" s="119"/>
      <c r="V10" s="119"/>
    </row>
    <row r="11" spans="1:22" ht="13.4" customHeight="1" x14ac:dyDescent="0.3">
      <c r="A11" s="79"/>
      <c r="B11" s="28" t="s">
        <v>16</v>
      </c>
      <c r="C11" s="28" t="s">
        <v>199</v>
      </c>
      <c r="D11" s="28" t="s">
        <v>100</v>
      </c>
      <c r="E11" s="29" t="s">
        <v>286</v>
      </c>
      <c r="F11" s="30">
        <v>1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0</v>
      </c>
      <c r="N11" s="26">
        <f>SUM(F170:F187)</f>
        <v>42</v>
      </c>
      <c r="O11" s="27">
        <f>SUM(F167:F169)</f>
        <v>42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167</v>
      </c>
      <c r="D12" s="106" t="s">
        <v>135</v>
      </c>
      <c r="E12" s="107">
        <v>1</v>
      </c>
      <c r="F12" s="108">
        <v>1</v>
      </c>
      <c r="G12" s="87" t="s">
        <v>287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-2</v>
      </c>
      <c r="N12" s="73">
        <f>SUM(F197:F214)</f>
        <v>38</v>
      </c>
      <c r="O12" s="74">
        <f>SUM(F194:F196)</f>
        <v>40</v>
      </c>
    </row>
    <row r="13" spans="1:22" ht="13.4" customHeight="1" x14ac:dyDescent="0.3">
      <c r="A13" s="79"/>
      <c r="B13" s="28" t="s">
        <v>16</v>
      </c>
      <c r="C13" s="28" t="s">
        <v>453</v>
      </c>
      <c r="D13" s="28" t="s">
        <v>104</v>
      </c>
      <c r="E13" s="29" t="s">
        <v>286</v>
      </c>
      <c r="F13" s="30">
        <v>7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21</v>
      </c>
      <c r="N13" s="73">
        <f>SUM(F224:F241)</f>
        <v>66</v>
      </c>
      <c r="O13" s="74">
        <f>SUM(F221:F223)</f>
        <v>45</v>
      </c>
      <c r="R13" s="119"/>
      <c r="S13" s="119"/>
      <c r="T13" s="119"/>
      <c r="U13" s="119"/>
      <c r="V13" s="119"/>
    </row>
    <row r="14" spans="1:22" ht="13.4" customHeight="1" x14ac:dyDescent="0.3">
      <c r="A14" s="79"/>
      <c r="B14" s="28" t="s">
        <v>16</v>
      </c>
      <c r="C14" s="28" t="s">
        <v>186</v>
      </c>
      <c r="D14" s="28" t="s">
        <v>122</v>
      </c>
      <c r="E14" s="29">
        <v>1</v>
      </c>
      <c r="F14" s="30">
        <v>6</v>
      </c>
      <c r="G14" s="87"/>
      <c r="H14" s="84"/>
      <c r="I14" s="99">
        <v>1</v>
      </c>
      <c r="J14" s="79"/>
      <c r="K14" s="71" t="str">
        <f>D245</f>
        <v>SAM HARPER</v>
      </c>
      <c r="L14" s="72" t="str">
        <f>C245</f>
        <v>LE HARPRE</v>
      </c>
      <c r="M14" s="25">
        <f t="shared" si="0"/>
        <v>5</v>
      </c>
      <c r="N14" s="73">
        <f>SUM(F251:F268)</f>
        <v>59</v>
      </c>
      <c r="O14" s="74">
        <f>SUM(F248:F250)</f>
        <v>54</v>
      </c>
      <c r="S14" s="102"/>
      <c r="T14" s="101"/>
      <c r="U14" s="102"/>
    </row>
    <row r="15" spans="1:22" ht="13.4" customHeight="1" x14ac:dyDescent="0.3">
      <c r="A15" s="79"/>
      <c r="B15" s="106" t="s">
        <v>17</v>
      </c>
      <c r="C15" s="106" t="s">
        <v>171</v>
      </c>
      <c r="D15" s="106" t="s">
        <v>90</v>
      </c>
      <c r="E15" s="107">
        <v>14</v>
      </c>
      <c r="F15" s="108">
        <v>0</v>
      </c>
      <c r="G15" s="87" t="s">
        <v>287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10</v>
      </c>
      <c r="N15" s="26">
        <f>SUM(F278:F295)</f>
        <v>53</v>
      </c>
      <c r="O15" s="27">
        <f>SUM(F275:F277)</f>
        <v>43</v>
      </c>
    </row>
    <row r="16" spans="1:22" ht="13.4" customHeight="1" x14ac:dyDescent="0.3">
      <c r="A16" s="79"/>
      <c r="B16" s="28" t="s">
        <v>17</v>
      </c>
      <c r="C16" s="28" t="s">
        <v>412</v>
      </c>
      <c r="D16" s="28" t="s">
        <v>413</v>
      </c>
      <c r="E16" s="29" t="s">
        <v>286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32</v>
      </c>
      <c r="N16" s="26">
        <f>SUM(F305:F322)</f>
        <v>77</v>
      </c>
      <c r="O16" s="27">
        <f>SUM(F302:F304)</f>
        <v>45</v>
      </c>
    </row>
    <row r="17" spans="1:22" ht="13.4" customHeight="1" x14ac:dyDescent="0.3">
      <c r="A17" s="79"/>
      <c r="B17" s="28" t="s">
        <v>17</v>
      </c>
      <c r="C17" s="28" t="s">
        <v>124</v>
      </c>
      <c r="D17" s="28" t="s">
        <v>119</v>
      </c>
      <c r="E17" s="29">
        <v>15</v>
      </c>
      <c r="F17" s="30">
        <v>9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7</v>
      </c>
      <c r="N17" s="26">
        <f>SUM(F332:F349)</f>
        <v>41</v>
      </c>
      <c r="O17" s="27">
        <f>SUM(F329:F331)</f>
        <v>34</v>
      </c>
      <c r="R17" s="119"/>
      <c r="S17" s="119"/>
      <c r="T17" s="119"/>
      <c r="U17" s="119"/>
      <c r="V17" s="119"/>
    </row>
    <row r="18" spans="1:22" ht="13.4" customHeight="1" thickBot="1" x14ac:dyDescent="0.35">
      <c r="A18" s="79"/>
      <c r="B18" s="106" t="s">
        <v>17</v>
      </c>
      <c r="C18" s="106" t="s">
        <v>187</v>
      </c>
      <c r="D18" s="106" t="s">
        <v>85</v>
      </c>
      <c r="E18" s="107">
        <v>17</v>
      </c>
      <c r="F18" s="108">
        <v>0</v>
      </c>
      <c r="G18" s="83" t="s">
        <v>287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11</v>
      </c>
      <c r="N18" s="26">
        <f>SUM(F359:F376)</f>
        <v>48</v>
      </c>
      <c r="O18" s="27">
        <f>SUM(F356:F358)</f>
        <v>37</v>
      </c>
      <c r="S18" s="102"/>
      <c r="T18" s="101"/>
      <c r="U18" s="102"/>
    </row>
    <row r="19" spans="1:22" ht="13.4" customHeight="1" x14ac:dyDescent="0.3">
      <c r="A19" s="79"/>
      <c r="B19" s="106" t="s">
        <v>17</v>
      </c>
      <c r="C19" s="106" t="s">
        <v>292</v>
      </c>
      <c r="D19" s="106" t="s">
        <v>293</v>
      </c>
      <c r="E19" s="107" t="s">
        <v>286</v>
      </c>
      <c r="F19" s="108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454</v>
      </c>
      <c r="D20" s="28" t="s">
        <v>135</v>
      </c>
      <c r="E20" s="29" t="s">
        <v>286</v>
      </c>
      <c r="F20" s="30">
        <v>9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19"/>
      <c r="S20" s="119"/>
      <c r="T20" s="119"/>
      <c r="U20" s="119"/>
      <c r="V20" s="119"/>
    </row>
    <row r="21" spans="1:22" ht="13.4" customHeight="1" x14ac:dyDescent="0.3">
      <c r="A21" s="79"/>
      <c r="B21" s="106" t="s">
        <v>17</v>
      </c>
      <c r="C21" s="106" t="s">
        <v>188</v>
      </c>
      <c r="D21" s="106" t="s">
        <v>95</v>
      </c>
      <c r="E21" s="107">
        <v>8</v>
      </c>
      <c r="F21" s="108">
        <v>3</v>
      </c>
      <c r="G21" s="87" t="s">
        <v>287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490</v>
      </c>
      <c r="D22" s="28" t="s">
        <v>18</v>
      </c>
      <c r="E22" s="29" t="s">
        <v>286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 t="s">
        <v>17</v>
      </c>
      <c r="C23" s="106" t="s">
        <v>189</v>
      </c>
      <c r="D23" s="106" t="s">
        <v>80</v>
      </c>
      <c r="E23" s="107">
        <v>1</v>
      </c>
      <c r="F23" s="108">
        <v>1</v>
      </c>
      <c r="G23" s="87" t="s">
        <v>287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 t="s">
        <v>17</v>
      </c>
      <c r="C24" s="106" t="s">
        <v>429</v>
      </c>
      <c r="D24" s="106" t="s">
        <v>94</v>
      </c>
      <c r="E24" s="107" t="s">
        <v>286</v>
      </c>
      <c r="F24" s="108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19"/>
      <c r="S24" s="119"/>
      <c r="T24" s="119"/>
      <c r="U24" s="119"/>
      <c r="V24" s="119"/>
    </row>
    <row r="25" spans="1:22" ht="13.4" customHeight="1" thickBot="1" x14ac:dyDescent="0.35">
      <c r="A25" s="79"/>
      <c r="B25" s="28" t="s">
        <v>17</v>
      </c>
      <c r="C25" s="28" t="s">
        <v>501</v>
      </c>
      <c r="D25" s="28" t="s">
        <v>74</v>
      </c>
      <c r="E25" s="29" t="s">
        <v>286</v>
      </c>
      <c r="F25" s="30">
        <v>1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26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9"/>
      <c r="S28" s="119"/>
      <c r="T28" s="119"/>
      <c r="U28" s="119"/>
      <c r="V28" s="119"/>
    </row>
    <row r="29" spans="1:22" ht="13.4" customHeight="1" x14ac:dyDescent="0.3">
      <c r="A29" s="1"/>
      <c r="B29" s="1"/>
      <c r="C29" s="3" t="s">
        <v>190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40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191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3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5</v>
      </c>
      <c r="G38" s="83"/>
      <c r="H38" s="91"/>
      <c r="I38" s="93"/>
      <c r="J38" s="76"/>
      <c r="K38" s="1"/>
      <c r="L38" s="1"/>
      <c r="M38" s="1"/>
      <c r="N38" s="1"/>
      <c r="O38" s="1"/>
      <c r="R38" s="119"/>
      <c r="S38" s="119"/>
      <c r="T38" s="119"/>
      <c r="U38" s="119"/>
      <c r="V38" s="119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8</v>
      </c>
      <c r="G39" s="87"/>
      <c r="H39" s="91"/>
      <c r="I39" s="89">
        <v>1</v>
      </c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192</v>
      </c>
      <c r="D40" s="28" t="s">
        <v>83</v>
      </c>
      <c r="E40" s="29">
        <v>1</v>
      </c>
      <c r="F40" s="30">
        <v>9</v>
      </c>
      <c r="G40" s="87"/>
      <c r="H40" s="91"/>
      <c r="I40" s="89">
        <v>1</v>
      </c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106" t="s">
        <v>17</v>
      </c>
      <c r="C42" s="106" t="s">
        <v>61</v>
      </c>
      <c r="D42" s="106" t="s">
        <v>74</v>
      </c>
      <c r="E42" s="107">
        <v>2</v>
      </c>
      <c r="F42" s="108">
        <v>0</v>
      </c>
      <c r="G42" s="87" t="s">
        <v>287</v>
      </c>
      <c r="H42" s="91">
        <v>45876</v>
      </c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106" t="s">
        <v>17</v>
      </c>
      <c r="C43" s="106" t="s">
        <v>288</v>
      </c>
      <c r="D43" s="106" t="s">
        <v>70</v>
      </c>
      <c r="E43" s="107" t="s">
        <v>286</v>
      </c>
      <c r="F43" s="108">
        <v>5</v>
      </c>
      <c r="G43" s="87">
        <v>45876</v>
      </c>
      <c r="H43" s="91">
        <v>46051</v>
      </c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524</v>
      </c>
      <c r="D44" s="28" t="s">
        <v>133</v>
      </c>
      <c r="E44" s="29" t="s">
        <v>286</v>
      </c>
      <c r="F44" s="30">
        <v>1</v>
      </c>
      <c r="G44" s="87">
        <v>46051</v>
      </c>
      <c r="H44" s="91"/>
      <c r="I44" s="89">
        <v>1</v>
      </c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109</v>
      </c>
      <c r="D45" s="28" t="s">
        <v>70</v>
      </c>
      <c r="E45" s="29">
        <v>12</v>
      </c>
      <c r="F45" s="30">
        <v>6</v>
      </c>
      <c r="G45" s="87"/>
      <c r="H45" s="91"/>
      <c r="I45" s="89">
        <v>1</v>
      </c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106" t="s">
        <v>17</v>
      </c>
      <c r="C46" s="106" t="s">
        <v>193</v>
      </c>
      <c r="D46" s="106" t="s">
        <v>86</v>
      </c>
      <c r="E46" s="107">
        <v>9</v>
      </c>
      <c r="F46" s="108">
        <v>0</v>
      </c>
      <c r="G46" s="87" t="s">
        <v>287</v>
      </c>
      <c r="H46" s="91">
        <v>45904</v>
      </c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6" t="s">
        <v>17</v>
      </c>
      <c r="C47" s="106" t="s">
        <v>431</v>
      </c>
      <c r="D47" s="106" t="s">
        <v>24</v>
      </c>
      <c r="E47" s="107" t="s">
        <v>286</v>
      </c>
      <c r="F47" s="108">
        <v>3</v>
      </c>
      <c r="G47" s="91">
        <v>45904</v>
      </c>
      <c r="H47" s="91">
        <v>46051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432</v>
      </c>
      <c r="D48" s="28" t="s">
        <v>82</v>
      </c>
      <c r="E48" s="29" t="s">
        <v>286</v>
      </c>
      <c r="F48" s="30">
        <v>0</v>
      </c>
      <c r="G48" s="91">
        <v>46051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6" t="s">
        <v>17</v>
      </c>
      <c r="C49" s="106" t="s">
        <v>120</v>
      </c>
      <c r="D49" s="106" t="s">
        <v>194</v>
      </c>
      <c r="E49" s="107">
        <v>1</v>
      </c>
      <c r="F49" s="108">
        <v>1</v>
      </c>
      <c r="G49" s="91" t="s">
        <v>287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 t="s">
        <v>17</v>
      </c>
      <c r="C50" s="106" t="s">
        <v>426</v>
      </c>
      <c r="D50" s="106" t="s">
        <v>89</v>
      </c>
      <c r="E50" s="107" t="s">
        <v>286</v>
      </c>
      <c r="F50" s="108">
        <v>6</v>
      </c>
      <c r="G50" s="91">
        <v>45904</v>
      </c>
      <c r="H50" s="91">
        <v>46051</v>
      </c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525</v>
      </c>
      <c r="D51" s="28" t="s">
        <v>522</v>
      </c>
      <c r="E51" s="29" t="s">
        <v>286</v>
      </c>
      <c r="F51" s="30">
        <v>0</v>
      </c>
      <c r="G51" s="91">
        <v>46051</v>
      </c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 t="s">
        <v>17</v>
      </c>
      <c r="C52" s="28" t="s">
        <v>170</v>
      </c>
      <c r="D52" s="28" t="s">
        <v>22</v>
      </c>
      <c r="E52" s="29">
        <v>24</v>
      </c>
      <c r="F52" s="30">
        <v>2</v>
      </c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13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200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30</v>
      </c>
      <c r="G59" s="80"/>
      <c r="H59" s="92"/>
      <c r="I59" s="92">
        <v>1</v>
      </c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196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195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5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22</v>
      </c>
      <c r="E66" s="29">
        <v>5</v>
      </c>
      <c r="F66" s="30">
        <v>14</v>
      </c>
      <c r="G66" s="83"/>
      <c r="H66" s="91"/>
      <c r="I66" s="90">
        <v>1</v>
      </c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6" t="s">
        <v>16</v>
      </c>
      <c r="C67" s="106" t="s">
        <v>174</v>
      </c>
      <c r="D67" s="106" t="s">
        <v>26</v>
      </c>
      <c r="E67" s="107">
        <v>29</v>
      </c>
      <c r="F67" s="108">
        <v>0</v>
      </c>
      <c r="G67" s="87" t="s">
        <v>287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410</v>
      </c>
      <c r="D68" s="28" t="s">
        <v>36</v>
      </c>
      <c r="E68" s="29" t="s">
        <v>286</v>
      </c>
      <c r="F68" s="30">
        <v>9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8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6" t="s">
        <v>17</v>
      </c>
      <c r="C72" s="106" t="s">
        <v>59</v>
      </c>
      <c r="D72" s="106" t="s">
        <v>18</v>
      </c>
      <c r="E72" s="107">
        <v>7</v>
      </c>
      <c r="F72" s="108">
        <v>0</v>
      </c>
      <c r="G72" s="83" t="s">
        <v>287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407</v>
      </c>
      <c r="D73" s="28" t="s">
        <v>87</v>
      </c>
      <c r="E73" s="29" t="s">
        <v>286</v>
      </c>
      <c r="F73" s="30">
        <v>5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197</v>
      </c>
      <c r="D74" s="28" t="s">
        <v>162</v>
      </c>
      <c r="E74" s="29">
        <v>7</v>
      </c>
      <c r="F74" s="30">
        <v>5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 t="s">
        <v>17</v>
      </c>
      <c r="C75" s="106" t="s">
        <v>198</v>
      </c>
      <c r="D75" s="106" t="s">
        <v>82</v>
      </c>
      <c r="E75" s="107">
        <v>1</v>
      </c>
      <c r="F75" s="108">
        <v>0</v>
      </c>
      <c r="G75" s="87" t="s">
        <v>287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106" t="s">
        <v>17</v>
      </c>
      <c r="C76" s="106" t="s">
        <v>294</v>
      </c>
      <c r="D76" s="106" t="s">
        <v>295</v>
      </c>
      <c r="E76" s="107" t="s">
        <v>286</v>
      </c>
      <c r="F76" s="108">
        <v>3</v>
      </c>
      <c r="G76" s="87">
        <v>45890</v>
      </c>
      <c r="H76" s="91">
        <v>46044</v>
      </c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28" t="s">
        <v>17</v>
      </c>
      <c r="C77" s="28" t="s">
        <v>59</v>
      </c>
      <c r="D77" s="28" t="s">
        <v>18</v>
      </c>
      <c r="E77" s="29" t="s">
        <v>286</v>
      </c>
      <c r="F77" s="30">
        <v>1</v>
      </c>
      <c r="G77" s="87">
        <v>46044</v>
      </c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 t="s">
        <v>17</v>
      </c>
      <c r="C78" s="106" t="s">
        <v>199</v>
      </c>
      <c r="D78" s="106" t="s">
        <v>100</v>
      </c>
      <c r="E78" s="107">
        <v>1</v>
      </c>
      <c r="F78" s="108">
        <v>1</v>
      </c>
      <c r="G78" s="87" t="s">
        <v>287</v>
      </c>
      <c r="H78" s="91">
        <v>45946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460</v>
      </c>
      <c r="D79" s="28" t="s">
        <v>461</v>
      </c>
      <c r="E79" s="29" t="s">
        <v>286</v>
      </c>
      <c r="F79" s="30">
        <v>4</v>
      </c>
      <c r="G79" s="87">
        <v>45946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28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40</v>
      </c>
      <c r="G86" s="80"/>
      <c r="H86" s="94"/>
      <c r="I86" s="93">
        <v>2</v>
      </c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201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202</v>
      </c>
      <c r="D92" s="28" t="s">
        <v>22</v>
      </c>
      <c r="E92" s="29">
        <v>1</v>
      </c>
      <c r="F92" s="30">
        <v>6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65</v>
      </c>
      <c r="D93" s="106" t="s">
        <v>137</v>
      </c>
      <c r="E93" s="107">
        <v>1</v>
      </c>
      <c r="F93" s="108">
        <v>0</v>
      </c>
      <c r="G93" s="91" t="s">
        <v>287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491</v>
      </c>
      <c r="D94" s="28" t="s">
        <v>24</v>
      </c>
      <c r="E94" s="29" t="s">
        <v>286</v>
      </c>
      <c r="F94" s="30">
        <v>2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5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203</v>
      </c>
      <c r="D98" s="28" t="s">
        <v>33</v>
      </c>
      <c r="E98" s="29">
        <v>25</v>
      </c>
      <c r="F98" s="30">
        <v>15</v>
      </c>
      <c r="G98" s="87"/>
      <c r="H98" s="91"/>
      <c r="I98" s="90">
        <v>2</v>
      </c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6" t="s">
        <v>17</v>
      </c>
      <c r="C99" s="106" t="s">
        <v>156</v>
      </c>
      <c r="D99" s="106" t="s">
        <v>155</v>
      </c>
      <c r="E99" s="107">
        <v>10</v>
      </c>
      <c r="F99" s="108">
        <v>3</v>
      </c>
      <c r="G99" s="83" t="s">
        <v>287</v>
      </c>
      <c r="H99" s="91">
        <v>45995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487</v>
      </c>
      <c r="D100" s="28" t="s">
        <v>97</v>
      </c>
      <c r="E100" s="29" t="s">
        <v>286</v>
      </c>
      <c r="F100" s="30">
        <v>3</v>
      </c>
      <c r="G100" s="87">
        <v>45995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6" t="s">
        <v>17</v>
      </c>
      <c r="C101" s="106" t="s">
        <v>60</v>
      </c>
      <c r="D101" s="106" t="s">
        <v>150</v>
      </c>
      <c r="E101" s="107">
        <v>6</v>
      </c>
      <c r="F101" s="108">
        <v>1</v>
      </c>
      <c r="G101" s="87" t="s">
        <v>287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445</v>
      </c>
      <c r="D102" s="28" t="s">
        <v>169</v>
      </c>
      <c r="E102" s="29" t="s">
        <v>286</v>
      </c>
      <c r="F102" s="30">
        <v>13</v>
      </c>
      <c r="G102" s="87">
        <v>45918</v>
      </c>
      <c r="H102" s="91"/>
      <c r="I102" s="90">
        <v>2</v>
      </c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4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 t="s">
        <v>17</v>
      </c>
      <c r="C104" s="106" t="s">
        <v>204</v>
      </c>
      <c r="D104" s="106" t="s">
        <v>73</v>
      </c>
      <c r="E104" s="107">
        <v>1</v>
      </c>
      <c r="F104" s="108">
        <v>0</v>
      </c>
      <c r="G104" s="87" t="s">
        <v>287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 t="s">
        <v>17</v>
      </c>
      <c r="C105" s="106" t="s">
        <v>432</v>
      </c>
      <c r="D105" s="106" t="s">
        <v>82</v>
      </c>
      <c r="E105" s="107" t="s">
        <v>286</v>
      </c>
      <c r="F105" s="108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495</v>
      </c>
      <c r="D106" s="28" t="s">
        <v>181</v>
      </c>
      <c r="E106" s="29" t="s">
        <v>286</v>
      </c>
      <c r="F106" s="30">
        <v>4</v>
      </c>
      <c r="G106" s="87">
        <v>46002</v>
      </c>
      <c r="H106" s="91"/>
      <c r="I106" s="92">
        <v>1</v>
      </c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23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205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206</v>
      </c>
      <c r="E113" s="14">
        <v>1</v>
      </c>
      <c r="F113" s="15">
        <v>35</v>
      </c>
      <c r="G113" s="80"/>
      <c r="H113" s="94"/>
      <c r="I113" s="90">
        <v>1</v>
      </c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207</v>
      </c>
      <c r="D116" s="28" t="s">
        <v>208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209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210</v>
      </c>
      <c r="D119" s="28" t="s">
        <v>145</v>
      </c>
      <c r="E119" s="29">
        <v>19</v>
      </c>
      <c r="F119" s="30">
        <v>15</v>
      </c>
      <c r="G119" s="87"/>
      <c r="H119" s="91"/>
      <c r="I119" s="90">
        <v>2</v>
      </c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7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180</v>
      </c>
      <c r="D121" s="106" t="s">
        <v>179</v>
      </c>
      <c r="E121" s="107">
        <v>1</v>
      </c>
      <c r="F121" s="108">
        <v>1</v>
      </c>
      <c r="G121" s="86" t="s">
        <v>287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483</v>
      </c>
      <c r="D122" s="28" t="s">
        <v>97</v>
      </c>
      <c r="E122" s="29" t="s">
        <v>286</v>
      </c>
      <c r="F122" s="30">
        <v>3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 t="s">
        <v>17</v>
      </c>
      <c r="C123" s="28" t="s">
        <v>163</v>
      </c>
      <c r="D123" s="28" t="s">
        <v>36</v>
      </c>
      <c r="E123" s="29">
        <v>24</v>
      </c>
      <c r="F123" s="30">
        <v>3</v>
      </c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106" t="s">
        <v>17</v>
      </c>
      <c r="C124" s="106" t="s">
        <v>168</v>
      </c>
      <c r="D124" s="106" t="s">
        <v>169</v>
      </c>
      <c r="E124" s="107">
        <v>10</v>
      </c>
      <c r="F124" s="108">
        <v>1</v>
      </c>
      <c r="G124" s="83" t="s">
        <v>287</v>
      </c>
      <c r="H124" s="91">
        <v>45890</v>
      </c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405</v>
      </c>
      <c r="D125" s="106" t="s">
        <v>406</v>
      </c>
      <c r="E125" s="107" t="s">
        <v>286</v>
      </c>
      <c r="F125" s="108">
        <v>2</v>
      </c>
      <c r="G125" s="87">
        <v>45890</v>
      </c>
      <c r="H125" s="91">
        <v>45967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28" t="s">
        <v>17</v>
      </c>
      <c r="C126" s="28" t="s">
        <v>477</v>
      </c>
      <c r="D126" s="28" t="s">
        <v>208</v>
      </c>
      <c r="E126" s="29" t="s">
        <v>286</v>
      </c>
      <c r="F126" s="30">
        <v>4</v>
      </c>
      <c r="G126" s="87">
        <v>45967</v>
      </c>
      <c r="H126" s="91">
        <v>46023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502</v>
      </c>
      <c r="D127" s="28" t="s">
        <v>503</v>
      </c>
      <c r="E127" s="29" t="s">
        <v>286</v>
      </c>
      <c r="F127" s="30">
        <v>1</v>
      </c>
      <c r="G127" s="87">
        <v>46023</v>
      </c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106" t="s">
        <v>17</v>
      </c>
      <c r="C128" s="106" t="s">
        <v>211</v>
      </c>
      <c r="D128" s="106" t="s">
        <v>129</v>
      </c>
      <c r="E128" s="107">
        <v>19</v>
      </c>
      <c r="F128" s="108">
        <v>2</v>
      </c>
      <c r="G128" s="87" t="s">
        <v>287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 t="s">
        <v>17</v>
      </c>
      <c r="C129" s="106" t="s">
        <v>402</v>
      </c>
      <c r="D129" s="106" t="s">
        <v>69</v>
      </c>
      <c r="E129" s="107" t="s">
        <v>286</v>
      </c>
      <c r="F129" s="108">
        <v>3</v>
      </c>
      <c r="G129" s="87">
        <v>45890</v>
      </c>
      <c r="H129" s="91">
        <v>46058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426</v>
      </c>
      <c r="D130" s="28" t="s">
        <v>89</v>
      </c>
      <c r="E130" s="29" t="s">
        <v>286</v>
      </c>
      <c r="F130" s="30">
        <v>0</v>
      </c>
      <c r="G130" s="87">
        <v>46058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110</v>
      </c>
      <c r="D131" s="28" t="s">
        <v>97</v>
      </c>
      <c r="E131" s="29">
        <v>1</v>
      </c>
      <c r="F131" s="30">
        <v>11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 t="s">
        <v>17</v>
      </c>
      <c r="C132" s="106" t="s">
        <v>212</v>
      </c>
      <c r="D132" s="106" t="s">
        <v>20</v>
      </c>
      <c r="E132" s="107">
        <v>1</v>
      </c>
      <c r="F132" s="108">
        <v>1</v>
      </c>
      <c r="G132" s="87" t="s">
        <v>287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455</v>
      </c>
      <c r="D133" s="28" t="s">
        <v>456</v>
      </c>
      <c r="E133" s="29" t="s">
        <v>286</v>
      </c>
      <c r="F133" s="30">
        <v>5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25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0" t="s">
        <v>13</v>
      </c>
      <c r="C140" s="111"/>
      <c r="D140" s="110" t="s">
        <v>94</v>
      </c>
      <c r="E140" s="112">
        <v>1</v>
      </c>
      <c r="F140" s="113">
        <v>9</v>
      </c>
      <c r="G140" s="80" t="s">
        <v>287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5" t="s">
        <v>13</v>
      </c>
      <c r="C141" s="115"/>
      <c r="D141" s="115" t="s">
        <v>430</v>
      </c>
      <c r="E141" s="116" t="s">
        <v>286</v>
      </c>
      <c r="F141" s="115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295</v>
      </c>
      <c r="E142" s="22" t="s">
        <v>286</v>
      </c>
      <c r="F142" s="21">
        <v>18</v>
      </c>
      <c r="G142" s="86">
        <v>45974</v>
      </c>
      <c r="H142" s="92"/>
      <c r="I142" s="118">
        <v>2</v>
      </c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213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214</v>
      </c>
      <c r="D146" s="28" t="s">
        <v>33</v>
      </c>
      <c r="E146" s="29">
        <v>42</v>
      </c>
      <c r="F146" s="30">
        <v>6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10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6" t="s">
        <v>16</v>
      </c>
      <c r="C148" s="106" t="s">
        <v>101</v>
      </c>
      <c r="D148" s="106" t="s">
        <v>69</v>
      </c>
      <c r="E148" s="107">
        <v>1</v>
      </c>
      <c r="F148" s="108">
        <v>2</v>
      </c>
      <c r="G148" s="87" t="s">
        <v>287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478</v>
      </c>
      <c r="D149" s="28" t="s">
        <v>456</v>
      </c>
      <c r="E149" s="29" t="s">
        <v>286</v>
      </c>
      <c r="F149" s="30">
        <v>3</v>
      </c>
      <c r="G149" s="87">
        <v>45974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106" t="s">
        <v>17</v>
      </c>
      <c r="C152" s="106" t="s">
        <v>152</v>
      </c>
      <c r="D152" s="106" t="s">
        <v>68</v>
      </c>
      <c r="E152" s="107">
        <v>1</v>
      </c>
      <c r="F152" s="108">
        <v>5</v>
      </c>
      <c r="G152" s="87" t="s">
        <v>287</v>
      </c>
      <c r="H152" s="91">
        <v>46030</v>
      </c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509</v>
      </c>
      <c r="D153" s="28" t="s">
        <v>84</v>
      </c>
      <c r="E153" s="29" t="s">
        <v>286</v>
      </c>
      <c r="F153" s="30">
        <v>2</v>
      </c>
      <c r="G153" s="87">
        <v>46030</v>
      </c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28" t="s">
        <v>17</v>
      </c>
      <c r="C154" s="28" t="s">
        <v>215</v>
      </c>
      <c r="D154" s="28" t="s">
        <v>83</v>
      </c>
      <c r="E154" s="29">
        <v>18</v>
      </c>
      <c r="F154" s="30">
        <v>10</v>
      </c>
      <c r="G154" s="83"/>
      <c r="H154" s="91"/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216</v>
      </c>
      <c r="D155" s="106" t="s">
        <v>19</v>
      </c>
      <c r="E155" s="107">
        <v>3</v>
      </c>
      <c r="F155" s="108">
        <v>0</v>
      </c>
      <c r="G155" s="87" t="s">
        <v>287</v>
      </c>
      <c r="H155" s="91">
        <v>45911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6" t="s">
        <v>17</v>
      </c>
      <c r="C156" s="106" t="s">
        <v>480</v>
      </c>
      <c r="D156" s="106" t="s">
        <v>139</v>
      </c>
      <c r="E156" s="107" t="s">
        <v>286</v>
      </c>
      <c r="F156" s="108">
        <v>2</v>
      </c>
      <c r="G156" s="87">
        <v>45911</v>
      </c>
      <c r="H156" s="91">
        <v>45995</v>
      </c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106" t="s">
        <v>17</v>
      </c>
      <c r="C157" s="106" t="s">
        <v>489</v>
      </c>
      <c r="D157" s="106" t="s">
        <v>519</v>
      </c>
      <c r="E157" s="107" t="s">
        <v>286</v>
      </c>
      <c r="F157" s="108">
        <v>0</v>
      </c>
      <c r="G157" s="87">
        <v>45995</v>
      </c>
      <c r="H157" s="91">
        <v>46044</v>
      </c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 t="s">
        <v>17</v>
      </c>
      <c r="C158" s="28" t="s">
        <v>521</v>
      </c>
      <c r="D158" s="28" t="s">
        <v>522</v>
      </c>
      <c r="E158" s="29" t="s">
        <v>286</v>
      </c>
      <c r="F158" s="30">
        <v>1</v>
      </c>
      <c r="G158" s="87">
        <v>46044</v>
      </c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 t="s">
        <v>17</v>
      </c>
      <c r="C159" s="28" t="s">
        <v>117</v>
      </c>
      <c r="D159" s="28" t="s">
        <v>19</v>
      </c>
      <c r="E159" s="29">
        <v>25</v>
      </c>
      <c r="F159" s="30">
        <v>12</v>
      </c>
      <c r="G159" s="87"/>
      <c r="H159" s="91"/>
      <c r="I159" s="90">
        <v>1</v>
      </c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 t="s">
        <v>17</v>
      </c>
      <c r="C160" s="28" t="s">
        <v>132</v>
      </c>
      <c r="D160" s="28" t="s">
        <v>217</v>
      </c>
      <c r="E160" s="29">
        <v>4</v>
      </c>
      <c r="F160" s="30">
        <v>11</v>
      </c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28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0" t="s">
        <v>13</v>
      </c>
      <c r="C167" s="111"/>
      <c r="D167" s="110" t="s">
        <v>133</v>
      </c>
      <c r="E167" s="112">
        <v>1</v>
      </c>
      <c r="F167" s="113">
        <v>14</v>
      </c>
      <c r="G167" s="80" t="s">
        <v>287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286</v>
      </c>
      <c r="F168" s="21">
        <v>28</v>
      </c>
      <c r="G168" s="86">
        <v>46318</v>
      </c>
      <c r="H168" s="92"/>
      <c r="I168" s="92">
        <v>2</v>
      </c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133</v>
      </c>
      <c r="E173" s="29">
        <v>3</v>
      </c>
      <c r="F173" s="30">
        <v>9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6" t="s">
        <v>16</v>
      </c>
      <c r="C174" s="106" t="s">
        <v>108</v>
      </c>
      <c r="D174" s="106" t="s">
        <v>74</v>
      </c>
      <c r="E174" s="107">
        <v>1</v>
      </c>
      <c r="F174" s="108">
        <v>0</v>
      </c>
      <c r="G174" s="91" t="s">
        <v>287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6" t="s">
        <v>16</v>
      </c>
      <c r="C175" s="106" t="s">
        <v>411</v>
      </c>
      <c r="D175" s="106" t="s">
        <v>97</v>
      </c>
      <c r="E175" s="107" t="s">
        <v>286</v>
      </c>
      <c r="F175" s="108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471</v>
      </c>
      <c r="D176" s="28" t="s">
        <v>472</v>
      </c>
      <c r="E176" s="29" t="s">
        <v>286</v>
      </c>
      <c r="F176" s="30">
        <v>2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8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6" t="s">
        <v>17</v>
      </c>
      <c r="C178" s="106" t="s">
        <v>96</v>
      </c>
      <c r="D178" s="106" t="s">
        <v>33</v>
      </c>
      <c r="E178" s="107">
        <v>56</v>
      </c>
      <c r="F178" s="108">
        <v>3</v>
      </c>
      <c r="G178" s="91" t="s">
        <v>287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6" t="s">
        <v>17</v>
      </c>
      <c r="C179" s="106" t="s">
        <v>178</v>
      </c>
      <c r="D179" s="106" t="s">
        <v>123</v>
      </c>
      <c r="E179" s="107">
        <v>1</v>
      </c>
      <c r="F179" s="108">
        <v>1</v>
      </c>
      <c r="G179" s="83" t="s">
        <v>287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504</v>
      </c>
      <c r="D180" s="28" t="s">
        <v>20</v>
      </c>
      <c r="E180" s="29" t="s">
        <v>286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505</v>
      </c>
      <c r="D181" s="28" t="s">
        <v>150</v>
      </c>
      <c r="E181" s="29" t="s">
        <v>286</v>
      </c>
      <c r="F181" s="30">
        <v>3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6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 t="s">
        <v>17</v>
      </c>
      <c r="C183" s="106" t="s">
        <v>218</v>
      </c>
      <c r="D183" s="106" t="s">
        <v>28</v>
      </c>
      <c r="E183" s="107">
        <v>1</v>
      </c>
      <c r="F183" s="108">
        <v>0</v>
      </c>
      <c r="G183" s="87" t="s">
        <v>287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475</v>
      </c>
      <c r="D184" s="28" t="s">
        <v>448</v>
      </c>
      <c r="E184" s="29" t="s">
        <v>286</v>
      </c>
      <c r="F184" s="30">
        <v>2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 t="s">
        <v>17</v>
      </c>
      <c r="C185" s="106" t="s">
        <v>148</v>
      </c>
      <c r="D185" s="106" t="s">
        <v>219</v>
      </c>
      <c r="E185" s="107">
        <v>1</v>
      </c>
      <c r="F185" s="108">
        <v>0</v>
      </c>
      <c r="G185" s="83" t="s">
        <v>287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 t="s">
        <v>17</v>
      </c>
      <c r="C186" s="106" t="s">
        <v>285</v>
      </c>
      <c r="D186" s="106" t="s">
        <v>133</v>
      </c>
      <c r="E186" s="107" t="s">
        <v>286</v>
      </c>
      <c r="F186" s="108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473</v>
      </c>
      <c r="D187" s="28" t="s">
        <v>474</v>
      </c>
      <c r="E187" s="29" t="s">
        <v>286</v>
      </c>
      <c r="F187" s="30">
        <v>2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0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40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270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484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271</v>
      </c>
      <c r="D200" s="28" t="s">
        <v>155</v>
      </c>
      <c r="E200" s="29">
        <v>1</v>
      </c>
      <c r="F200" s="30">
        <v>7</v>
      </c>
      <c r="G200" s="83"/>
      <c r="H200" s="90"/>
      <c r="I200" s="90">
        <v>1</v>
      </c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272</v>
      </c>
      <c r="D201" s="28" t="s">
        <v>18</v>
      </c>
      <c r="E201" s="29">
        <v>1</v>
      </c>
      <c r="F201" s="30">
        <v>4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273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274</v>
      </c>
      <c r="D206" s="28" t="s">
        <v>485</v>
      </c>
      <c r="E206" s="29">
        <v>1</v>
      </c>
      <c r="F206" s="30">
        <v>10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275</v>
      </c>
      <c r="D207" s="28" t="s">
        <v>123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279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276</v>
      </c>
      <c r="D209" s="28" t="s">
        <v>194</v>
      </c>
      <c r="E209" s="29">
        <v>1</v>
      </c>
      <c r="F209" s="30">
        <v>7</v>
      </c>
      <c r="G209" s="87"/>
      <c r="H209" s="91"/>
      <c r="I209" s="90">
        <v>1</v>
      </c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277</v>
      </c>
      <c r="D210" s="28" t="s">
        <v>278</v>
      </c>
      <c r="E210" s="29">
        <v>1</v>
      </c>
      <c r="F210" s="30">
        <v>4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-2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269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0" t="s">
        <v>13</v>
      </c>
      <c r="C221" s="111"/>
      <c r="D221" s="110" t="s">
        <v>30</v>
      </c>
      <c r="E221" s="112">
        <v>1</v>
      </c>
      <c r="F221" s="113">
        <v>6</v>
      </c>
      <c r="G221" s="80" t="s">
        <v>287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5" t="s">
        <v>13</v>
      </c>
      <c r="C222" s="115"/>
      <c r="D222" s="115" t="s">
        <v>121</v>
      </c>
      <c r="E222" s="116" t="s">
        <v>286</v>
      </c>
      <c r="F222" s="115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181</v>
      </c>
      <c r="E223" s="22" t="s">
        <v>286</v>
      </c>
      <c r="F223" s="21">
        <v>12</v>
      </c>
      <c r="G223" s="86">
        <v>46016</v>
      </c>
      <c r="H223" s="92"/>
      <c r="I223" s="93">
        <v>2</v>
      </c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220</v>
      </c>
      <c r="D224" s="28" t="s">
        <v>19</v>
      </c>
      <c r="E224" s="29">
        <v>2</v>
      </c>
      <c r="F224" s="30">
        <v>1</v>
      </c>
      <c r="G224" s="83"/>
      <c r="H224" s="90"/>
      <c r="I224" s="89">
        <v>1</v>
      </c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221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6" t="s">
        <v>16</v>
      </c>
      <c r="C227" s="106" t="s">
        <v>81</v>
      </c>
      <c r="D227" s="106" t="s">
        <v>446</v>
      </c>
      <c r="E227" s="107">
        <v>1</v>
      </c>
      <c r="F227" s="108">
        <v>0</v>
      </c>
      <c r="G227" s="83" t="s">
        <v>287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482</v>
      </c>
      <c r="D228" s="28" t="s">
        <v>97</v>
      </c>
      <c r="E228" s="29" t="s">
        <v>286</v>
      </c>
      <c r="F228" s="30">
        <v>3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5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177</v>
      </c>
      <c r="D230" s="106" t="s">
        <v>280</v>
      </c>
      <c r="E230" s="107">
        <v>4</v>
      </c>
      <c r="F230" s="108">
        <v>0</v>
      </c>
      <c r="G230" s="87" t="s">
        <v>287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6" t="s">
        <v>16</v>
      </c>
      <c r="C231" s="106" t="s">
        <v>289</v>
      </c>
      <c r="D231" s="106" t="s">
        <v>290</v>
      </c>
      <c r="E231" s="107" t="s">
        <v>286</v>
      </c>
      <c r="F231" s="108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479</v>
      </c>
      <c r="D232" s="28" t="s">
        <v>85</v>
      </c>
      <c r="E232" s="29" t="s">
        <v>286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222</v>
      </c>
      <c r="D233" s="28" t="s">
        <v>18</v>
      </c>
      <c r="E233" s="29">
        <v>36</v>
      </c>
      <c r="F233" s="30">
        <v>11</v>
      </c>
      <c r="G233" s="87"/>
      <c r="H233" s="91"/>
      <c r="I233" s="89">
        <v>1</v>
      </c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14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243</v>
      </c>
      <c r="E235" s="29">
        <v>8</v>
      </c>
      <c r="F235" s="30">
        <v>7</v>
      </c>
      <c r="G235" s="83"/>
      <c r="H235" s="91"/>
      <c r="I235" s="89">
        <v>1</v>
      </c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106" t="s">
        <v>17</v>
      </c>
      <c r="C236" s="106" t="s">
        <v>223</v>
      </c>
      <c r="D236" s="106" t="s">
        <v>103</v>
      </c>
      <c r="E236" s="107">
        <v>15</v>
      </c>
      <c r="F236" s="108">
        <v>3</v>
      </c>
      <c r="G236" s="87" t="s">
        <v>287</v>
      </c>
      <c r="H236" s="91">
        <v>46016</v>
      </c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28" t="s">
        <v>500</v>
      </c>
      <c r="D237" s="28" t="s">
        <v>95</v>
      </c>
      <c r="E237" s="29" t="s">
        <v>286</v>
      </c>
      <c r="F237" s="30">
        <v>5</v>
      </c>
      <c r="G237" s="87">
        <v>46016</v>
      </c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106" t="s">
        <v>17</v>
      </c>
      <c r="C238" s="106" t="s">
        <v>268</v>
      </c>
      <c r="D238" s="106" t="s">
        <v>160</v>
      </c>
      <c r="E238" s="107">
        <v>1</v>
      </c>
      <c r="F238" s="108">
        <v>0</v>
      </c>
      <c r="G238" s="87" t="s">
        <v>287</v>
      </c>
      <c r="H238" s="91">
        <v>45911</v>
      </c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 t="s">
        <v>17</v>
      </c>
      <c r="C239" s="28" t="s">
        <v>428</v>
      </c>
      <c r="D239" s="28" t="s">
        <v>68</v>
      </c>
      <c r="E239" s="29" t="s">
        <v>286</v>
      </c>
      <c r="F239" s="30">
        <v>12</v>
      </c>
      <c r="G239" s="87">
        <v>45911</v>
      </c>
      <c r="H239" s="91"/>
      <c r="I239" s="89">
        <v>2</v>
      </c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21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224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0" t="s">
        <v>13</v>
      </c>
      <c r="C248" s="111"/>
      <c r="D248" s="110" t="s">
        <v>84</v>
      </c>
      <c r="E248" s="112">
        <v>8</v>
      </c>
      <c r="F248" s="113">
        <v>14</v>
      </c>
      <c r="G248" s="80" t="s">
        <v>287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5" t="s">
        <v>13</v>
      </c>
      <c r="C249" s="115"/>
      <c r="D249" s="115" t="s">
        <v>24</v>
      </c>
      <c r="E249" s="116" t="s">
        <v>286</v>
      </c>
      <c r="F249" s="115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510</v>
      </c>
      <c r="E250" s="22" t="s">
        <v>286</v>
      </c>
      <c r="F250" s="21">
        <v>3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225</v>
      </c>
      <c r="D251" s="28" t="s">
        <v>155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217</v>
      </c>
      <c r="E254" s="29">
        <v>1</v>
      </c>
      <c r="F254" s="30">
        <v>8</v>
      </c>
      <c r="G254" s="83"/>
      <c r="H254" s="91"/>
      <c r="I254" s="90">
        <v>1</v>
      </c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6" t="s">
        <v>16</v>
      </c>
      <c r="C255" s="106" t="s">
        <v>131</v>
      </c>
      <c r="D255" s="106" t="s">
        <v>24</v>
      </c>
      <c r="E255" s="107">
        <v>2</v>
      </c>
      <c r="F255" s="108">
        <v>0</v>
      </c>
      <c r="G255" s="91" t="s">
        <v>287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106" t="s">
        <v>16</v>
      </c>
      <c r="C256" s="106" t="s">
        <v>296</v>
      </c>
      <c r="D256" s="106" t="s">
        <v>290</v>
      </c>
      <c r="E256" s="107" t="s">
        <v>286</v>
      </c>
      <c r="F256" s="108">
        <v>2</v>
      </c>
      <c r="G256" s="87">
        <v>45890</v>
      </c>
      <c r="H256" s="91">
        <v>46030</v>
      </c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506</v>
      </c>
      <c r="D257" s="28" t="s">
        <v>507</v>
      </c>
      <c r="E257" s="29" t="s">
        <v>286</v>
      </c>
      <c r="F257" s="30">
        <v>1</v>
      </c>
      <c r="G257" s="87">
        <v>46030</v>
      </c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 t="s">
        <v>16</v>
      </c>
      <c r="C258" s="28" t="s">
        <v>226</v>
      </c>
      <c r="D258" s="28" t="s">
        <v>22</v>
      </c>
      <c r="E258" s="29">
        <v>3</v>
      </c>
      <c r="F258" s="30">
        <v>9</v>
      </c>
      <c r="G258" s="87"/>
      <c r="H258" s="91"/>
      <c r="I258" s="90">
        <v>1</v>
      </c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227</v>
      </c>
      <c r="D260" s="28" t="s">
        <v>119</v>
      </c>
      <c r="E260" s="29">
        <v>20</v>
      </c>
      <c r="F260" s="30">
        <v>3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8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6" t="s">
        <v>17</v>
      </c>
      <c r="C262" s="106" t="s">
        <v>106</v>
      </c>
      <c r="D262" s="106" t="s">
        <v>24</v>
      </c>
      <c r="E262" s="107">
        <v>16</v>
      </c>
      <c r="F262" s="108">
        <v>0</v>
      </c>
      <c r="G262" s="87" t="s">
        <v>287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462</v>
      </c>
      <c r="D263" s="28" t="s">
        <v>172</v>
      </c>
      <c r="E263" s="29" t="s">
        <v>286</v>
      </c>
      <c r="F263" s="30">
        <v>9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6" t="s">
        <v>17</v>
      </c>
      <c r="C264" s="106" t="s">
        <v>140</v>
      </c>
      <c r="D264" s="106" t="s">
        <v>84</v>
      </c>
      <c r="E264" s="107">
        <v>14</v>
      </c>
      <c r="F264" s="108">
        <v>0</v>
      </c>
      <c r="G264" s="87" t="s">
        <v>287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476</v>
      </c>
      <c r="D265" s="28" t="s">
        <v>23</v>
      </c>
      <c r="E265" s="29" t="s">
        <v>286</v>
      </c>
      <c r="F265" s="30">
        <v>11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 t="s">
        <v>17</v>
      </c>
      <c r="C266" s="106" t="s">
        <v>142</v>
      </c>
      <c r="D266" s="106" t="s">
        <v>290</v>
      </c>
      <c r="E266" s="107">
        <v>14</v>
      </c>
      <c r="F266" s="108">
        <v>0</v>
      </c>
      <c r="G266" s="83" t="s">
        <v>287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 t="s">
        <v>17</v>
      </c>
      <c r="C267" s="106" t="s">
        <v>408</v>
      </c>
      <c r="D267" s="106" t="s">
        <v>73</v>
      </c>
      <c r="E267" s="107" t="s">
        <v>286</v>
      </c>
      <c r="F267" s="108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496</v>
      </c>
      <c r="D268" s="28" t="s">
        <v>497</v>
      </c>
      <c r="E268" s="29" t="s">
        <v>286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5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0" t="s">
        <v>13</v>
      </c>
      <c r="C275" s="111"/>
      <c r="D275" s="110" t="s">
        <v>33</v>
      </c>
      <c r="E275" s="112">
        <v>1</v>
      </c>
      <c r="F275" s="113">
        <v>27</v>
      </c>
      <c r="G275" s="80" t="s">
        <v>287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286</v>
      </c>
      <c r="F276" s="21">
        <v>16</v>
      </c>
      <c r="G276" s="86">
        <v>45974</v>
      </c>
      <c r="H276" s="92"/>
      <c r="I276" s="92">
        <v>3</v>
      </c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228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229</v>
      </c>
      <c r="D279" s="28" t="s">
        <v>183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230</v>
      </c>
      <c r="D281" s="28" t="s">
        <v>70</v>
      </c>
      <c r="E281" s="29">
        <v>25</v>
      </c>
      <c r="F281" s="30">
        <v>9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231</v>
      </c>
      <c r="D282" s="28" t="s">
        <v>33</v>
      </c>
      <c r="E282" s="29">
        <v>40</v>
      </c>
      <c r="F282" s="30">
        <v>6</v>
      </c>
      <c r="G282" s="91"/>
      <c r="H282" s="91"/>
      <c r="I282" s="90">
        <v>1</v>
      </c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6" t="s">
        <v>16</v>
      </c>
      <c r="C283" s="106" t="s">
        <v>233</v>
      </c>
      <c r="D283" s="106" t="s">
        <v>232</v>
      </c>
      <c r="E283" s="107">
        <v>1</v>
      </c>
      <c r="F283" s="108">
        <v>0</v>
      </c>
      <c r="G283" s="87" t="s">
        <v>287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291</v>
      </c>
      <c r="D284" s="28" t="s">
        <v>84</v>
      </c>
      <c r="E284" s="29" t="s">
        <v>286</v>
      </c>
      <c r="F284" s="30">
        <v>4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13</v>
      </c>
      <c r="G287" s="87"/>
      <c r="H287" s="91"/>
      <c r="I287" s="90">
        <v>1</v>
      </c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6" t="s">
        <v>17</v>
      </c>
      <c r="C289" s="106" t="s">
        <v>234</v>
      </c>
      <c r="D289" s="106" t="s">
        <v>137</v>
      </c>
      <c r="E289" s="107">
        <v>4</v>
      </c>
      <c r="F289" s="108">
        <v>0</v>
      </c>
      <c r="G289" s="87" t="s">
        <v>287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470</v>
      </c>
      <c r="D290" s="28" t="s">
        <v>133</v>
      </c>
      <c r="E290" s="29" t="s">
        <v>286</v>
      </c>
      <c r="F290" s="30">
        <v>3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9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10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235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0" t="s">
        <v>13</v>
      </c>
      <c r="C302" s="111"/>
      <c r="D302" s="110" t="s">
        <v>68</v>
      </c>
      <c r="E302" s="112">
        <v>4</v>
      </c>
      <c r="F302" s="113">
        <v>6</v>
      </c>
      <c r="G302" s="80" t="s">
        <v>287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5" t="s">
        <v>13</v>
      </c>
      <c r="C303" s="115"/>
      <c r="D303" s="115" t="s">
        <v>100</v>
      </c>
      <c r="E303" s="116" t="s">
        <v>286</v>
      </c>
      <c r="F303" s="115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286</v>
      </c>
      <c r="F304" s="21">
        <v>25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236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237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106" t="s">
        <v>16</v>
      </c>
      <c r="C308" s="106" t="s">
        <v>176</v>
      </c>
      <c r="D308" s="106" t="s">
        <v>122</v>
      </c>
      <c r="E308" s="107">
        <v>4</v>
      </c>
      <c r="F308" s="108">
        <v>4</v>
      </c>
      <c r="G308" s="87" t="s">
        <v>287</v>
      </c>
      <c r="H308" s="91">
        <v>46002</v>
      </c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494</v>
      </c>
      <c r="D309" s="28" t="s">
        <v>64</v>
      </c>
      <c r="E309" s="29" t="s">
        <v>286</v>
      </c>
      <c r="F309" s="30">
        <v>4</v>
      </c>
      <c r="G309" s="87">
        <v>46002</v>
      </c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106" t="s">
        <v>16</v>
      </c>
      <c r="C310" s="106" t="s">
        <v>165</v>
      </c>
      <c r="D310" s="106" t="s">
        <v>68</v>
      </c>
      <c r="E310" s="107">
        <v>1</v>
      </c>
      <c r="F310" s="108">
        <v>1</v>
      </c>
      <c r="G310" s="87" t="s">
        <v>287</v>
      </c>
      <c r="H310" s="91">
        <v>45911</v>
      </c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174</v>
      </c>
      <c r="D311" s="28" t="s">
        <v>26</v>
      </c>
      <c r="E311" s="29" t="s">
        <v>286</v>
      </c>
      <c r="F311" s="30">
        <v>9</v>
      </c>
      <c r="G311" s="87">
        <v>45911</v>
      </c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106" t="s">
        <v>16</v>
      </c>
      <c r="C312" s="106" t="s">
        <v>102</v>
      </c>
      <c r="D312" s="106" t="s">
        <v>133</v>
      </c>
      <c r="E312" s="107">
        <v>9</v>
      </c>
      <c r="F312" s="108">
        <v>0</v>
      </c>
      <c r="G312" s="83" t="s">
        <v>287</v>
      </c>
      <c r="H312" s="91">
        <v>45961</v>
      </c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16</v>
      </c>
      <c r="C313" s="28" t="s">
        <v>520</v>
      </c>
      <c r="D313" s="28" t="s">
        <v>86</v>
      </c>
      <c r="E313" s="29" t="s">
        <v>286</v>
      </c>
      <c r="F313" s="30">
        <v>3</v>
      </c>
      <c r="G313" s="87">
        <v>45961</v>
      </c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 t="s">
        <v>17</v>
      </c>
      <c r="C314" s="28" t="s">
        <v>71</v>
      </c>
      <c r="D314" s="28" t="s">
        <v>22</v>
      </c>
      <c r="E314" s="29">
        <v>54</v>
      </c>
      <c r="F314" s="30">
        <v>27</v>
      </c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106" t="s">
        <v>17</v>
      </c>
      <c r="C315" s="106" t="s">
        <v>238</v>
      </c>
      <c r="D315" s="106" t="s">
        <v>123</v>
      </c>
      <c r="E315" s="107">
        <v>8</v>
      </c>
      <c r="F315" s="108">
        <v>1</v>
      </c>
      <c r="G315" s="87" t="s">
        <v>287</v>
      </c>
      <c r="H315" s="91">
        <v>45939</v>
      </c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457</v>
      </c>
      <c r="D316" s="28" t="s">
        <v>85</v>
      </c>
      <c r="E316" s="29" t="s">
        <v>286</v>
      </c>
      <c r="F316" s="30">
        <v>1</v>
      </c>
      <c r="G316" s="87">
        <v>45939</v>
      </c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239</v>
      </c>
      <c r="D317" s="28" t="s">
        <v>121</v>
      </c>
      <c r="E317" s="29">
        <v>1</v>
      </c>
      <c r="F317" s="30">
        <v>13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240</v>
      </c>
      <c r="D318" s="106" t="s">
        <v>241</v>
      </c>
      <c r="E318" s="107">
        <v>1</v>
      </c>
      <c r="F318" s="108">
        <v>0</v>
      </c>
      <c r="G318" s="83" t="s">
        <v>287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6" t="s">
        <v>17</v>
      </c>
      <c r="C319" s="106" t="s">
        <v>447</v>
      </c>
      <c r="D319" s="106" t="s">
        <v>448</v>
      </c>
      <c r="E319" s="107" t="s">
        <v>286</v>
      </c>
      <c r="F319" s="108">
        <v>1</v>
      </c>
      <c r="G319" s="87">
        <v>45911</v>
      </c>
      <c r="H319" s="91">
        <v>46051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523</v>
      </c>
      <c r="D320" s="28" t="s">
        <v>80</v>
      </c>
      <c r="E320" s="29" t="s">
        <v>286</v>
      </c>
      <c r="F320" s="30">
        <v>1</v>
      </c>
      <c r="G320" s="87">
        <v>46051</v>
      </c>
      <c r="H320" s="91"/>
      <c r="I320" s="90">
        <v>1</v>
      </c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 t="s">
        <v>17</v>
      </c>
      <c r="C321" s="106" t="s">
        <v>242</v>
      </c>
      <c r="D321" s="106" t="s">
        <v>88</v>
      </c>
      <c r="E321" s="107">
        <v>1</v>
      </c>
      <c r="F321" s="108">
        <v>0</v>
      </c>
      <c r="G321" s="87" t="s">
        <v>287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404</v>
      </c>
      <c r="D322" s="28" t="s">
        <v>278</v>
      </c>
      <c r="E322" s="29" t="s">
        <v>286</v>
      </c>
      <c r="F322" s="30">
        <v>11</v>
      </c>
      <c r="G322" s="87">
        <v>45890</v>
      </c>
      <c r="H322" s="91"/>
      <c r="I322" s="90">
        <v>2</v>
      </c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32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245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34</v>
      </c>
      <c r="G329" s="83"/>
      <c r="H329" s="87"/>
      <c r="I329" s="90">
        <v>2</v>
      </c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481</v>
      </c>
      <c r="D332" s="28" t="s">
        <v>150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6" t="s">
        <v>16</v>
      </c>
      <c r="C335" s="106" t="s">
        <v>146</v>
      </c>
      <c r="D335" s="106" t="s">
        <v>243</v>
      </c>
      <c r="E335" s="107">
        <v>1</v>
      </c>
      <c r="F335" s="108">
        <v>0</v>
      </c>
      <c r="G335" s="87" t="s">
        <v>287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488</v>
      </c>
      <c r="D336" s="28" t="s">
        <v>19</v>
      </c>
      <c r="E336" s="29" t="s">
        <v>286</v>
      </c>
      <c r="F336" s="30">
        <v>1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182</v>
      </c>
      <c r="D337" s="28" t="s">
        <v>162</v>
      </c>
      <c r="E337" s="29">
        <v>1</v>
      </c>
      <c r="F337" s="30">
        <v>2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281</v>
      </c>
      <c r="D338" s="28" t="s">
        <v>24</v>
      </c>
      <c r="E338" s="29">
        <v>1</v>
      </c>
      <c r="F338" s="30">
        <v>3</v>
      </c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244</v>
      </c>
      <c r="D341" s="28" t="s">
        <v>208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8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3</v>
      </c>
      <c r="G343" s="87"/>
      <c r="H343" s="91"/>
      <c r="I343" s="90">
        <v>1</v>
      </c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282</v>
      </c>
      <c r="D344" s="28" t="s">
        <v>133</v>
      </c>
      <c r="E344" s="29">
        <v>1</v>
      </c>
      <c r="F344" s="30">
        <v>10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6" t="s">
        <v>17</v>
      </c>
      <c r="C345" s="106" t="s">
        <v>283</v>
      </c>
      <c r="D345" s="106" t="s">
        <v>84</v>
      </c>
      <c r="E345" s="107">
        <v>1</v>
      </c>
      <c r="F345" s="108">
        <v>0</v>
      </c>
      <c r="G345" s="87" t="s">
        <v>287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458</v>
      </c>
      <c r="D346" s="28" t="s">
        <v>179</v>
      </c>
      <c r="E346" s="29" t="s">
        <v>286</v>
      </c>
      <c r="F346" s="30">
        <v>8</v>
      </c>
      <c r="G346" s="87">
        <v>45932</v>
      </c>
      <c r="H346" s="91"/>
      <c r="I346" s="90">
        <v>1</v>
      </c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7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247</v>
      </c>
      <c r="D353" s="1" t="s">
        <v>246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37</v>
      </c>
      <c r="G356" s="1"/>
      <c r="H356" s="103"/>
      <c r="I356" s="1">
        <v>2</v>
      </c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248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249</v>
      </c>
      <c r="D362" s="28" t="s">
        <v>18</v>
      </c>
      <c r="E362" s="29">
        <v>32</v>
      </c>
      <c r="F362" s="30">
        <v>7</v>
      </c>
      <c r="G362" s="1"/>
      <c r="H362" s="1"/>
      <c r="I362" s="1"/>
      <c r="J362" s="1"/>
    </row>
    <row r="363" spans="2:10" ht="13.4" customHeight="1" x14ac:dyDescent="0.3">
      <c r="B363" s="106" t="s">
        <v>16</v>
      </c>
      <c r="C363" s="106" t="s">
        <v>250</v>
      </c>
      <c r="D363" s="106" t="s">
        <v>56</v>
      </c>
      <c r="E363" s="107">
        <v>4</v>
      </c>
      <c r="F363" s="108">
        <v>1</v>
      </c>
      <c r="G363" s="1" t="s">
        <v>287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486</v>
      </c>
      <c r="D364" s="28" t="s">
        <v>18</v>
      </c>
      <c r="E364" s="29" t="s">
        <v>286</v>
      </c>
      <c r="F364" s="30">
        <v>3</v>
      </c>
      <c r="G364" s="103">
        <v>45988</v>
      </c>
      <c r="H364" s="103"/>
      <c r="I364" s="1"/>
      <c r="J364" s="1"/>
    </row>
    <row r="365" spans="2:10" ht="13.4" customHeight="1" x14ac:dyDescent="0.3">
      <c r="B365" s="106" t="s">
        <v>16</v>
      </c>
      <c r="C365" s="106" t="s">
        <v>175</v>
      </c>
      <c r="D365" s="106" t="s">
        <v>121</v>
      </c>
      <c r="E365" s="107">
        <v>1</v>
      </c>
      <c r="F365" s="108">
        <v>0</v>
      </c>
      <c r="G365" s="103" t="s">
        <v>287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409</v>
      </c>
      <c r="D366" s="28" t="s">
        <v>151</v>
      </c>
      <c r="E366" s="29" t="s">
        <v>286</v>
      </c>
      <c r="F366" s="30">
        <v>2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5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251</v>
      </c>
      <c r="D369" s="28" t="s">
        <v>172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252</v>
      </c>
      <c r="D370" s="28" t="s">
        <v>427</v>
      </c>
      <c r="E370" s="29">
        <v>5</v>
      </c>
      <c r="F370" s="30">
        <v>12</v>
      </c>
      <c r="G370" s="103"/>
      <c r="H370" s="1"/>
      <c r="I370" s="1"/>
      <c r="J370" s="1"/>
    </row>
    <row r="371" spans="2:10" ht="13.4" customHeight="1" x14ac:dyDescent="0.3">
      <c r="B371" s="106" t="s">
        <v>17</v>
      </c>
      <c r="C371" s="106" t="s">
        <v>253</v>
      </c>
      <c r="D371" s="106" t="s">
        <v>23</v>
      </c>
      <c r="E371" s="107">
        <v>1</v>
      </c>
      <c r="F371" s="108">
        <v>3</v>
      </c>
      <c r="G371" s="1" t="s">
        <v>287</v>
      </c>
      <c r="H371" s="103">
        <v>46009</v>
      </c>
      <c r="I371" s="1"/>
      <c r="J371" s="1"/>
    </row>
    <row r="372" spans="2:10" ht="13.4" customHeight="1" x14ac:dyDescent="0.3">
      <c r="B372" s="28" t="s">
        <v>17</v>
      </c>
      <c r="C372" s="28" t="s">
        <v>499</v>
      </c>
      <c r="D372" s="28" t="s">
        <v>290</v>
      </c>
      <c r="E372" s="29" t="s">
        <v>286</v>
      </c>
      <c r="F372" s="30">
        <v>0</v>
      </c>
      <c r="G372" s="103">
        <v>46009</v>
      </c>
      <c r="H372" s="103"/>
      <c r="I372" s="1"/>
      <c r="J372" s="1"/>
    </row>
    <row r="373" spans="2:10" ht="13.4" customHeight="1" x14ac:dyDescent="0.3">
      <c r="B373" s="106" t="s">
        <v>17</v>
      </c>
      <c r="C373" s="106" t="s">
        <v>147</v>
      </c>
      <c r="D373" s="106" t="s">
        <v>83</v>
      </c>
      <c r="E373" s="107">
        <v>1</v>
      </c>
      <c r="F373" s="108">
        <v>0</v>
      </c>
      <c r="G373" s="103" t="s">
        <v>287</v>
      </c>
      <c r="H373" s="103">
        <v>45890</v>
      </c>
      <c r="I373" s="1"/>
      <c r="J373" s="1"/>
    </row>
    <row r="374" spans="2:10" ht="13.4" customHeight="1" x14ac:dyDescent="0.3">
      <c r="B374" s="106" t="s">
        <v>17</v>
      </c>
      <c r="C374" s="106" t="s">
        <v>403</v>
      </c>
      <c r="D374" s="106" t="s">
        <v>160</v>
      </c>
      <c r="E374" s="107" t="s">
        <v>286</v>
      </c>
      <c r="F374" s="108">
        <v>0</v>
      </c>
      <c r="G374" s="103">
        <v>45890</v>
      </c>
      <c r="H374" s="103">
        <v>45939</v>
      </c>
      <c r="I374" s="1"/>
      <c r="J374" s="1"/>
    </row>
    <row r="375" spans="2:10" ht="13.4" customHeight="1" x14ac:dyDescent="0.3">
      <c r="B375" s="28" t="s">
        <v>17</v>
      </c>
      <c r="C375" s="28" t="s">
        <v>459</v>
      </c>
      <c r="D375" s="28" t="s">
        <v>97</v>
      </c>
      <c r="E375" s="29" t="s">
        <v>286</v>
      </c>
      <c r="F375" s="30">
        <v>5</v>
      </c>
      <c r="G375" s="103">
        <v>45939</v>
      </c>
      <c r="H375" s="1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11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opLeftCell="A4" workbookViewId="0">
      <selection activeCell="H12" sqref="H12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254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98</v>
      </c>
      <c r="D7" s="24" t="s">
        <v>235</v>
      </c>
      <c r="E7" s="25">
        <v>32</v>
      </c>
      <c r="F7" s="26">
        <v>77</v>
      </c>
      <c r="G7" s="27">
        <v>45</v>
      </c>
      <c r="H7" s="117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32</v>
      </c>
      <c r="D8" s="55" t="s">
        <v>31</v>
      </c>
      <c r="E8" s="25">
        <v>28</v>
      </c>
      <c r="F8" s="26">
        <v>66</v>
      </c>
      <c r="G8" s="27">
        <v>38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25</v>
      </c>
      <c r="D9" s="24" t="s">
        <v>200</v>
      </c>
      <c r="E9" s="25">
        <v>28</v>
      </c>
      <c r="F9" s="26">
        <v>58</v>
      </c>
      <c r="G9" s="27">
        <v>30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</v>
      </c>
      <c r="D10" s="55" t="s">
        <v>1</v>
      </c>
      <c r="E10" s="25">
        <v>26</v>
      </c>
      <c r="F10" s="26">
        <v>51</v>
      </c>
      <c r="G10" s="27">
        <v>25</v>
      </c>
      <c r="H10" s="117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51</v>
      </c>
      <c r="D11" s="24" t="s">
        <v>205</v>
      </c>
      <c r="E11" s="25">
        <v>25</v>
      </c>
      <c r="F11" s="26">
        <v>60</v>
      </c>
      <c r="G11" s="27">
        <v>35</v>
      </c>
      <c r="H11" s="117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27</v>
      </c>
      <c r="D12" s="55" t="s">
        <v>15</v>
      </c>
      <c r="E12" s="25">
        <v>23</v>
      </c>
      <c r="F12" s="26">
        <v>63</v>
      </c>
      <c r="G12" s="27">
        <v>40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54</v>
      </c>
      <c r="D13" s="24" t="s">
        <v>269</v>
      </c>
      <c r="E13" s="25">
        <v>21</v>
      </c>
      <c r="F13" s="26">
        <v>66</v>
      </c>
      <c r="G13" s="27">
        <v>45</v>
      </c>
      <c r="H13" s="117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21</v>
      </c>
      <c r="D14" s="55" t="s">
        <v>190</v>
      </c>
      <c r="E14" s="25">
        <v>13</v>
      </c>
      <c r="F14" s="56">
        <v>53</v>
      </c>
      <c r="G14" s="57">
        <v>40</v>
      </c>
      <c r="H14" s="117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246</v>
      </c>
      <c r="D15" s="24" t="s">
        <v>247</v>
      </c>
      <c r="E15" s="25">
        <v>11</v>
      </c>
      <c r="F15" s="26">
        <v>48</v>
      </c>
      <c r="G15" s="27">
        <v>37</v>
      </c>
      <c r="H15" s="117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118</v>
      </c>
      <c r="D16" s="24" t="s">
        <v>141</v>
      </c>
      <c r="E16" s="25">
        <v>10</v>
      </c>
      <c r="F16" s="26">
        <v>53</v>
      </c>
      <c r="G16" s="27">
        <v>43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66</v>
      </c>
      <c r="D17" s="55" t="s">
        <v>245</v>
      </c>
      <c r="E17" s="25">
        <v>7</v>
      </c>
      <c r="F17" s="56">
        <v>41</v>
      </c>
      <c r="G17" s="57">
        <v>34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55</v>
      </c>
      <c r="D18" s="24" t="s">
        <v>224</v>
      </c>
      <c r="E18" s="25">
        <v>5</v>
      </c>
      <c r="F18" s="26">
        <v>59</v>
      </c>
      <c r="G18" s="27">
        <v>54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35</v>
      </c>
      <c r="D19" s="55" t="s">
        <v>34</v>
      </c>
      <c r="E19" s="25">
        <v>0</v>
      </c>
      <c r="F19" s="56">
        <v>42</v>
      </c>
      <c r="G19" s="57">
        <v>42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52</v>
      </c>
      <c r="D20" s="24" t="s">
        <v>53</v>
      </c>
      <c r="E20" s="25">
        <v>-2</v>
      </c>
      <c r="F20" s="26">
        <v>38</v>
      </c>
      <c r="G20" s="27">
        <v>40</v>
      </c>
      <c r="H20" s="117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tabSelected="1" workbookViewId="0">
      <selection activeCell="B17" sqref="B17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255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224</v>
      </c>
      <c r="C4" s="64">
        <v>2</v>
      </c>
      <c r="D4" s="64" t="s">
        <v>433</v>
      </c>
      <c r="E4" s="69" t="s">
        <v>247</v>
      </c>
      <c r="F4" s="100">
        <v>-2</v>
      </c>
      <c r="G4" s="100" t="s">
        <v>469</v>
      </c>
      <c r="I4" s="38" t="s">
        <v>511</v>
      </c>
      <c r="J4" s="38" t="s">
        <v>512</v>
      </c>
    </row>
    <row r="5" spans="1:10" ht="13.5" customHeight="1" x14ac:dyDescent="0.3">
      <c r="A5" s="67" t="s">
        <v>43</v>
      </c>
      <c r="B5" s="68" t="s">
        <v>15</v>
      </c>
      <c r="C5" s="64">
        <v>3</v>
      </c>
      <c r="D5" s="64" t="s">
        <v>526</v>
      </c>
      <c r="E5" s="68" t="s">
        <v>269</v>
      </c>
      <c r="F5" s="64">
        <v>3</v>
      </c>
      <c r="G5" s="64" t="s">
        <v>526</v>
      </c>
      <c r="I5" s="38" t="s">
        <v>513</v>
      </c>
      <c r="J5" s="38" t="s">
        <v>514</v>
      </c>
    </row>
    <row r="6" spans="1:10" ht="13.5" customHeight="1" x14ac:dyDescent="0.3">
      <c r="A6" s="67" t="s">
        <v>44</v>
      </c>
      <c r="B6" s="69" t="s">
        <v>53</v>
      </c>
      <c r="C6" s="100">
        <v>2</v>
      </c>
      <c r="D6" s="100" t="s">
        <v>433</v>
      </c>
      <c r="E6" s="68" t="s">
        <v>235</v>
      </c>
      <c r="F6" s="64">
        <v>3</v>
      </c>
      <c r="G6" s="64" t="s">
        <v>528</v>
      </c>
      <c r="I6" s="38" t="s">
        <v>515</v>
      </c>
      <c r="J6" s="38" t="s">
        <v>516</v>
      </c>
    </row>
    <row r="7" spans="1:10" ht="13.5" customHeight="1" x14ac:dyDescent="0.3">
      <c r="A7" s="67" t="s">
        <v>45</v>
      </c>
      <c r="B7" s="68" t="s">
        <v>200</v>
      </c>
      <c r="C7" s="64">
        <v>0</v>
      </c>
      <c r="D7" s="64" t="s">
        <v>438</v>
      </c>
      <c r="E7" s="69" t="s">
        <v>141</v>
      </c>
      <c r="F7" s="100">
        <v>-1</v>
      </c>
      <c r="G7" s="100" t="s">
        <v>527</v>
      </c>
      <c r="I7" s="38" t="s">
        <v>40</v>
      </c>
      <c r="J7" s="38" t="s">
        <v>517</v>
      </c>
    </row>
    <row r="8" spans="1:10" ht="13.5" customHeight="1" x14ac:dyDescent="0.3">
      <c r="A8" s="67" t="s">
        <v>46</v>
      </c>
      <c r="B8" s="69" t="s">
        <v>205</v>
      </c>
      <c r="C8" s="100">
        <v>1</v>
      </c>
      <c r="D8" s="100" t="s">
        <v>436</v>
      </c>
      <c r="E8" s="68" t="s">
        <v>190</v>
      </c>
      <c r="F8" s="64">
        <v>4</v>
      </c>
      <c r="G8" s="64" t="s">
        <v>437</v>
      </c>
    </row>
    <row r="9" spans="1:10" ht="13.5" customHeight="1" x14ac:dyDescent="0.3">
      <c r="A9" s="67" t="s">
        <v>47</v>
      </c>
      <c r="B9" s="68" t="s">
        <v>1</v>
      </c>
      <c r="C9" s="64">
        <v>1</v>
      </c>
      <c r="D9" s="64" t="s">
        <v>435</v>
      </c>
      <c r="E9" s="68" t="s">
        <v>34</v>
      </c>
      <c r="F9" s="64">
        <v>-2</v>
      </c>
      <c r="G9" s="64" t="s">
        <v>469</v>
      </c>
      <c r="I9" s="38" t="s">
        <v>518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245</v>
      </c>
    </row>
    <row r="11" spans="1:10" ht="13.5" customHeight="1" x14ac:dyDescent="0.35">
      <c r="A11" s="67"/>
      <c r="B11" s="63" t="s">
        <v>107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62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49</v>
      </c>
      <c r="B15" s="70"/>
      <c r="C15" s="69"/>
      <c r="D15" s="100"/>
      <c r="E15" s="65"/>
      <c r="F15" s="68"/>
      <c r="G15" s="64"/>
    </row>
    <row r="16" spans="1:10" ht="13.5" customHeight="1" x14ac:dyDescent="0.3">
      <c r="A16" s="67" t="s">
        <v>50</v>
      </c>
      <c r="B16" s="65"/>
      <c r="C16" s="68"/>
      <c r="D16" s="64"/>
      <c r="E16" s="65"/>
      <c r="F16" s="68"/>
      <c r="G16" s="64"/>
    </row>
    <row r="17" spans="1:11" ht="13.5" customHeight="1" x14ac:dyDescent="0.35">
      <c r="A17" s="67" t="s">
        <v>63</v>
      </c>
      <c r="B17" s="63"/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B38" sqref="B38:G4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284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245</v>
      </c>
      <c r="C4" s="64">
        <v>4</v>
      </c>
      <c r="D4" s="64" t="s">
        <v>437</v>
      </c>
      <c r="E4" s="69" t="s">
        <v>414</v>
      </c>
      <c r="F4" s="100">
        <v>-1</v>
      </c>
      <c r="G4" s="100" t="s">
        <v>442</v>
      </c>
      <c r="H4" s="38"/>
      <c r="I4" s="38"/>
      <c r="J4" s="98" t="s">
        <v>395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435</v>
      </c>
      <c r="E5" s="69" t="s">
        <v>415</v>
      </c>
      <c r="F5" s="100">
        <v>0</v>
      </c>
      <c r="G5" s="100" t="s">
        <v>441</v>
      </c>
      <c r="H5" s="38"/>
      <c r="I5" s="38"/>
      <c r="J5" s="98" t="s">
        <v>397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435</v>
      </c>
      <c r="E6" s="69" t="s">
        <v>416</v>
      </c>
      <c r="F6" s="100">
        <v>0</v>
      </c>
      <c r="G6" s="100" t="s">
        <v>438</v>
      </c>
      <c r="H6" s="38"/>
      <c r="I6" s="38"/>
      <c r="J6" s="98" t="s">
        <v>396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433</v>
      </c>
      <c r="E7" s="69" t="s">
        <v>417</v>
      </c>
      <c r="F7" s="100">
        <v>1</v>
      </c>
      <c r="G7" s="100" t="s">
        <v>436</v>
      </c>
      <c r="H7" s="38"/>
      <c r="I7" s="38"/>
      <c r="J7" s="98" t="s">
        <v>398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247</v>
      </c>
      <c r="C8" s="100">
        <v>0</v>
      </c>
      <c r="D8" s="100" t="s">
        <v>438</v>
      </c>
      <c r="E8" s="68" t="s">
        <v>418</v>
      </c>
      <c r="F8" s="64">
        <v>2</v>
      </c>
      <c r="G8" s="64" t="s">
        <v>433</v>
      </c>
      <c r="H8" s="38"/>
      <c r="I8" s="38"/>
      <c r="J8" s="98" t="s">
        <v>399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434</v>
      </c>
      <c r="E9" s="68" t="s">
        <v>419</v>
      </c>
      <c r="F9" s="64">
        <v>1</v>
      </c>
      <c r="G9" s="64" t="s">
        <v>435</v>
      </c>
      <c r="H9" s="38"/>
      <c r="I9" s="38"/>
      <c r="J9" s="98" t="s">
        <v>400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269</v>
      </c>
      <c r="C10" s="100">
        <v>1</v>
      </c>
      <c r="D10" s="100" t="s">
        <v>436</v>
      </c>
      <c r="E10" s="68" t="s">
        <v>420</v>
      </c>
      <c r="F10" s="64">
        <v>1</v>
      </c>
      <c r="G10" s="64" t="s">
        <v>440</v>
      </c>
      <c r="H10" s="38"/>
      <c r="I10" s="38"/>
      <c r="J10" s="98" t="s">
        <v>401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200</v>
      </c>
      <c r="C11" s="64">
        <v>2</v>
      </c>
      <c r="D11" s="64" t="s">
        <v>433</v>
      </c>
      <c r="E11" s="68" t="s">
        <v>421</v>
      </c>
      <c r="F11" s="64">
        <v>2</v>
      </c>
      <c r="G11" s="64" t="s">
        <v>433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422</v>
      </c>
      <c r="C12" s="100">
        <v>-2</v>
      </c>
      <c r="D12" s="100" t="s">
        <v>434</v>
      </c>
      <c r="E12" s="68" t="s">
        <v>423</v>
      </c>
      <c r="F12" s="64">
        <v>-1</v>
      </c>
      <c r="G12" s="64" t="s">
        <v>439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433</v>
      </c>
      <c r="E13" s="69" t="s">
        <v>424</v>
      </c>
      <c r="F13" s="100">
        <v>1</v>
      </c>
      <c r="G13" s="100" t="s">
        <v>435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443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200</v>
      </c>
      <c r="C16" s="64">
        <v>-1</v>
      </c>
      <c r="D16" s="64" t="s">
        <v>442</v>
      </c>
      <c r="E16" s="69" t="s">
        <v>421</v>
      </c>
      <c r="F16" s="100">
        <v>-1</v>
      </c>
      <c r="G16" s="100" t="s">
        <v>439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256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245</v>
      </c>
      <c r="C19" s="64">
        <v>0</v>
      </c>
      <c r="D19" s="64" t="s">
        <v>468</v>
      </c>
      <c r="E19" s="70" t="s">
        <v>224</v>
      </c>
      <c r="F19" s="100">
        <v>-1</v>
      </c>
      <c r="G19" s="100" t="s">
        <v>442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464</v>
      </c>
      <c r="E20" s="70" t="s">
        <v>418</v>
      </c>
      <c r="F20" s="100">
        <v>-2</v>
      </c>
      <c r="G20" s="100" t="s">
        <v>469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466</v>
      </c>
      <c r="E21" s="70" t="s">
        <v>420</v>
      </c>
      <c r="F21" s="100">
        <v>0</v>
      </c>
      <c r="G21" s="100" t="s">
        <v>438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257</v>
      </c>
      <c r="B22" s="70" t="s">
        <v>53</v>
      </c>
      <c r="C22" s="100">
        <v>-3</v>
      </c>
      <c r="D22" s="100" t="s">
        <v>465</v>
      </c>
      <c r="E22" s="65" t="s">
        <v>200</v>
      </c>
      <c r="F22" s="64">
        <v>-1</v>
      </c>
      <c r="G22" s="64" t="s">
        <v>442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258</v>
      </c>
      <c r="B23" s="65" t="s">
        <v>449</v>
      </c>
      <c r="C23" s="64">
        <v>1</v>
      </c>
      <c r="D23" s="64" t="s">
        <v>467</v>
      </c>
      <c r="E23" s="70" t="s">
        <v>419</v>
      </c>
      <c r="F23" s="100">
        <v>-3</v>
      </c>
      <c r="G23" s="100" t="s">
        <v>465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259</v>
      </c>
      <c r="B24" s="65" t="s">
        <v>423</v>
      </c>
      <c r="C24" s="64">
        <v>3</v>
      </c>
      <c r="D24" s="64" t="s">
        <v>463</v>
      </c>
      <c r="E24" s="70" t="s">
        <v>450</v>
      </c>
      <c r="F24" s="100">
        <v>2</v>
      </c>
      <c r="G24" s="100" t="s">
        <v>433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260</v>
      </c>
      <c r="B25" s="65" t="s">
        <v>205</v>
      </c>
      <c r="C25" s="64">
        <v>0</v>
      </c>
      <c r="D25" s="64" t="s">
        <v>438</v>
      </c>
      <c r="E25" s="70" t="s">
        <v>451</v>
      </c>
      <c r="F25" s="100">
        <v>-1</v>
      </c>
      <c r="G25" s="100" t="s">
        <v>439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261</v>
      </c>
      <c r="B26" s="65" t="s">
        <v>31</v>
      </c>
      <c r="C26" s="64">
        <v>3</v>
      </c>
      <c r="D26" s="64" t="s">
        <v>463</v>
      </c>
      <c r="E26" s="70" t="s">
        <v>452</v>
      </c>
      <c r="F26" s="100">
        <v>2</v>
      </c>
      <c r="G26" s="100" t="s">
        <v>433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262</v>
      </c>
      <c r="B29" s="70" t="s">
        <v>141</v>
      </c>
      <c r="C29" s="100">
        <v>1</v>
      </c>
      <c r="D29" s="100" t="s">
        <v>435</v>
      </c>
      <c r="E29" s="65" t="s">
        <v>235</v>
      </c>
      <c r="F29" s="64">
        <v>1</v>
      </c>
      <c r="G29" s="64" t="s">
        <v>436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263</v>
      </c>
      <c r="B30" s="70" t="s">
        <v>34</v>
      </c>
      <c r="C30" s="100">
        <v>-2</v>
      </c>
      <c r="D30" s="100" t="s">
        <v>469</v>
      </c>
      <c r="E30" s="65" t="s">
        <v>31</v>
      </c>
      <c r="F30" s="64">
        <v>0</v>
      </c>
      <c r="G30" s="64" t="s">
        <v>464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264</v>
      </c>
      <c r="B31" s="70" t="s">
        <v>245</v>
      </c>
      <c r="C31" s="100">
        <v>-2</v>
      </c>
      <c r="D31" s="100" t="s">
        <v>469</v>
      </c>
      <c r="E31" s="65" t="s">
        <v>423</v>
      </c>
      <c r="F31" s="64">
        <v>1</v>
      </c>
      <c r="G31" s="64" t="s">
        <v>440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265</v>
      </c>
      <c r="B32" s="70" t="s">
        <v>200</v>
      </c>
      <c r="C32" s="100">
        <v>0</v>
      </c>
      <c r="D32" s="100" t="s">
        <v>468</v>
      </c>
      <c r="E32" s="65" t="s">
        <v>205</v>
      </c>
      <c r="F32" s="64">
        <v>0</v>
      </c>
      <c r="G32" s="64" t="s">
        <v>438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266</v>
      </c>
      <c r="B35" s="70" t="s">
        <v>423</v>
      </c>
      <c r="C35" s="100">
        <v>-1</v>
      </c>
      <c r="D35" s="100" t="s">
        <v>439</v>
      </c>
      <c r="E35" s="65" t="s">
        <v>205</v>
      </c>
      <c r="F35" s="64">
        <v>0</v>
      </c>
      <c r="G35" s="64" t="s">
        <v>468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267</v>
      </c>
      <c r="B36" s="70" t="s">
        <v>31</v>
      </c>
      <c r="C36" s="100">
        <v>0</v>
      </c>
      <c r="D36" s="100" t="s">
        <v>493</v>
      </c>
      <c r="E36" s="65" t="s">
        <v>235</v>
      </c>
      <c r="F36" s="64">
        <v>4</v>
      </c>
      <c r="G36" s="64" t="s">
        <v>492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444</v>
      </c>
      <c r="B39" s="65" t="s">
        <v>205</v>
      </c>
      <c r="C39" s="64">
        <v>5</v>
      </c>
      <c r="D39" s="64" t="s">
        <v>498</v>
      </c>
      <c r="E39" s="70" t="s">
        <v>235</v>
      </c>
      <c r="F39" s="100">
        <v>2</v>
      </c>
      <c r="G39" s="100" t="s">
        <v>466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205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3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297</v>
      </c>
      <c r="C5" t="s">
        <v>318</v>
      </c>
      <c r="F5" t="s">
        <v>320</v>
      </c>
      <c r="G5" t="s">
        <v>318</v>
      </c>
      <c r="J5" s="67" t="s">
        <v>345</v>
      </c>
      <c r="K5" t="s">
        <v>318</v>
      </c>
      <c r="N5" s="67" t="s">
        <v>370</v>
      </c>
      <c r="O5" t="s">
        <v>318</v>
      </c>
    </row>
    <row r="6" spans="2:17" x14ac:dyDescent="0.3">
      <c r="B6" t="s">
        <v>298</v>
      </c>
      <c r="C6">
        <f>COUNTIF(Stats!D:D,'Player Count'!B6)</f>
        <v>11</v>
      </c>
      <c r="F6" t="s">
        <v>321</v>
      </c>
      <c r="G6">
        <f>COUNTIF(Stats!D:D,'Player Count'!F6)</f>
        <v>2</v>
      </c>
      <c r="J6" s="67" t="s">
        <v>364</v>
      </c>
      <c r="K6">
        <f>COUNTIF(Stats!D:D,'Player Count'!J6)</f>
        <v>1</v>
      </c>
      <c r="M6" s="109"/>
      <c r="N6" s="67" t="s">
        <v>371</v>
      </c>
      <c r="O6">
        <f>COUNTIF(Stats!D:D,'Player Count'!N6)</f>
        <v>0</v>
      </c>
      <c r="Q6" s="109"/>
    </row>
    <row r="7" spans="2:17" x14ac:dyDescent="0.3">
      <c r="B7" t="s">
        <v>299</v>
      </c>
      <c r="C7">
        <f>COUNTIF(Stats!D:D,'Player Count'!B7)</f>
        <v>4</v>
      </c>
      <c r="F7" t="s">
        <v>322</v>
      </c>
      <c r="G7">
        <f>COUNTIF(Stats!D:D,'Player Count'!F7)</f>
        <v>0</v>
      </c>
      <c r="J7" t="s">
        <v>346</v>
      </c>
      <c r="K7">
        <f>COUNTIF(Stats!D:D,'Player Count'!J7)</f>
        <v>1</v>
      </c>
      <c r="M7" s="109"/>
      <c r="N7" t="s">
        <v>372</v>
      </c>
      <c r="O7">
        <f>COUNTIF(Stats!D:D,'Player Count'!N7)</f>
        <v>1</v>
      </c>
      <c r="Q7" s="109"/>
    </row>
    <row r="8" spans="2:17" x14ac:dyDescent="0.3">
      <c r="B8" t="s">
        <v>300</v>
      </c>
      <c r="C8">
        <f>COUNTIF(Stats!D:D,'Player Count'!B8)</f>
        <v>2</v>
      </c>
      <c r="F8" t="s">
        <v>323</v>
      </c>
      <c r="G8">
        <f>COUNTIF(Stats!D:D,'Player Count'!F8)</f>
        <v>1</v>
      </c>
      <c r="J8" t="s">
        <v>347</v>
      </c>
      <c r="K8">
        <f>COUNTIF(Stats!D:D,'Player Count'!J8)</f>
        <v>3</v>
      </c>
      <c r="M8" s="109"/>
      <c r="N8" t="s">
        <v>373</v>
      </c>
      <c r="O8">
        <f>COUNTIF(Stats!D:D,'Player Count'!N8)</f>
        <v>0</v>
      </c>
      <c r="Q8" s="109"/>
    </row>
    <row r="9" spans="2:17" x14ac:dyDescent="0.3">
      <c r="B9" t="s">
        <v>301</v>
      </c>
      <c r="C9">
        <f>COUNTIF(Stats!D:D,'Player Count'!B9)</f>
        <v>3</v>
      </c>
      <c r="F9" t="s">
        <v>324</v>
      </c>
      <c r="G9">
        <f>COUNTIF(Stats!D:D,'Player Count'!F9)</f>
        <v>2</v>
      </c>
      <c r="J9" s="67" t="s">
        <v>365</v>
      </c>
      <c r="K9">
        <f>COUNTIF(Stats!D:D,'Player Count'!J9)</f>
        <v>3</v>
      </c>
      <c r="M9" s="109"/>
      <c r="N9" t="s">
        <v>374</v>
      </c>
      <c r="O9">
        <f>COUNTIF(Stats!D:D,'Player Count'!N9)</f>
        <v>1</v>
      </c>
      <c r="Q9" s="109"/>
    </row>
    <row r="10" spans="2:17" x14ac:dyDescent="0.3">
      <c r="B10" t="s">
        <v>302</v>
      </c>
      <c r="C10">
        <f>COUNTIF(Stats!D:D,'Player Count'!B10)</f>
        <v>2</v>
      </c>
      <c r="F10" t="s">
        <v>325</v>
      </c>
      <c r="G10">
        <f>COUNTIF(Stats!D:D,'Player Count'!F10)</f>
        <v>8</v>
      </c>
      <c r="J10" s="67" t="s">
        <v>348</v>
      </c>
      <c r="K10">
        <f>COUNTIF(Stats!D:D,'Player Count'!J10)</f>
        <v>2</v>
      </c>
      <c r="M10" s="109"/>
      <c r="N10" t="s">
        <v>375</v>
      </c>
      <c r="O10">
        <f>COUNTIF(Stats!D:D,'Player Count'!N10)</f>
        <v>2</v>
      </c>
      <c r="Q10" s="109"/>
    </row>
    <row r="11" spans="2:17" x14ac:dyDescent="0.3">
      <c r="B11" t="s">
        <v>303</v>
      </c>
      <c r="C11">
        <f>COUNTIF(Stats!D:D,'Player Count'!B11)</f>
        <v>1</v>
      </c>
      <c r="F11" t="s">
        <v>326</v>
      </c>
      <c r="G11">
        <f>COUNTIF(Stats!D:D,'Player Count'!F11)</f>
        <v>2</v>
      </c>
      <c r="J11" s="67" t="s">
        <v>366</v>
      </c>
      <c r="K11">
        <f>COUNTIF(Stats!D:D,'Player Count'!J11)</f>
        <v>0</v>
      </c>
      <c r="M11" s="109"/>
      <c r="N11" s="67" t="s">
        <v>376</v>
      </c>
      <c r="O11">
        <f>COUNTIF(Stats!D:D,'Player Count'!N11)</f>
        <v>1</v>
      </c>
      <c r="Q11" s="109"/>
    </row>
    <row r="12" spans="2:17" x14ac:dyDescent="0.3">
      <c r="B12" t="s">
        <v>304</v>
      </c>
      <c r="C12">
        <f>COUNTIF(Stats!D:D,'Player Count'!B12)</f>
        <v>5</v>
      </c>
      <c r="F12" t="s">
        <v>327</v>
      </c>
      <c r="G12">
        <f>COUNTIF(Stats!D:D,'Player Count'!F12)</f>
        <v>2</v>
      </c>
      <c r="J12" s="67" t="s">
        <v>349</v>
      </c>
      <c r="K12">
        <f>COUNTIF(Stats!D:D,'Player Count'!J12)</f>
        <v>3</v>
      </c>
      <c r="M12" s="109"/>
      <c r="N12" s="67" t="s">
        <v>377</v>
      </c>
      <c r="O12">
        <f>COUNTIF(Stats!D:D,'Player Count'!N12)</f>
        <v>0</v>
      </c>
      <c r="Q12" s="109"/>
    </row>
    <row r="13" spans="2:17" x14ac:dyDescent="0.3">
      <c r="B13" t="s">
        <v>305</v>
      </c>
      <c r="C13">
        <f>COUNTIF(Stats!D:D,'Player Count'!B13)</f>
        <v>5</v>
      </c>
      <c r="F13" t="s">
        <v>328</v>
      </c>
      <c r="G13">
        <f>COUNTIF(Stats!D:D,'Player Count'!F13)</f>
        <v>7</v>
      </c>
      <c r="J13" s="67" t="s">
        <v>350</v>
      </c>
      <c r="K13">
        <f>COUNTIF(Stats!D:D,'Player Count'!J13)</f>
        <v>2</v>
      </c>
      <c r="M13" s="109"/>
      <c r="N13" t="s">
        <v>378</v>
      </c>
      <c r="O13">
        <f>COUNTIF(Stats!D:D,'Player Count'!N13)</f>
        <v>3</v>
      </c>
      <c r="Q13" s="109"/>
    </row>
    <row r="14" spans="2:17" x14ac:dyDescent="0.3">
      <c r="B14" t="s">
        <v>306</v>
      </c>
      <c r="C14">
        <f>COUNTIF(Stats!D:D,'Player Count'!B14)</f>
        <v>2</v>
      </c>
      <c r="F14" t="s">
        <v>329</v>
      </c>
      <c r="G14">
        <f>COUNTIF(Stats!D:D,'Player Count'!F14)</f>
        <v>1</v>
      </c>
      <c r="J14" s="67" t="s">
        <v>351</v>
      </c>
      <c r="K14">
        <f>COUNTIF(Stats!D:D,'Player Count'!J14)</f>
        <v>2</v>
      </c>
      <c r="M14" s="109"/>
      <c r="N14" s="67" t="s">
        <v>379</v>
      </c>
      <c r="O14">
        <f>COUNTIF(Stats!D:D,'Player Count'!N14)</f>
        <v>1</v>
      </c>
      <c r="Q14" s="109"/>
    </row>
    <row r="15" spans="2:17" x14ac:dyDescent="0.3">
      <c r="B15" t="s">
        <v>307</v>
      </c>
      <c r="C15">
        <f>COUNTIF(Stats!D:D,'Player Count'!B15)</f>
        <v>2</v>
      </c>
      <c r="F15" t="s">
        <v>330</v>
      </c>
      <c r="G15">
        <f>COUNTIF(Stats!D:D,'Player Count'!F15)</f>
        <v>3</v>
      </c>
      <c r="J15" s="67" t="s">
        <v>352</v>
      </c>
      <c r="K15">
        <f>COUNTIF(Stats!D:D,'Player Count'!J15)</f>
        <v>1</v>
      </c>
      <c r="M15" s="109"/>
      <c r="N15" s="67" t="s">
        <v>380</v>
      </c>
      <c r="O15">
        <f>COUNTIF(Stats!D:D,'Player Count'!N15)</f>
        <v>0</v>
      </c>
      <c r="Q15" s="109"/>
    </row>
    <row r="16" spans="2:17" x14ac:dyDescent="0.3">
      <c r="B16" t="s">
        <v>308</v>
      </c>
      <c r="C16">
        <f>COUNTIF(Stats!D:D,'Player Count'!B16)</f>
        <v>4</v>
      </c>
      <c r="F16" t="s">
        <v>331</v>
      </c>
      <c r="G16">
        <f>COUNTIF(Stats!D:D,'Player Count'!F16)</f>
        <v>2</v>
      </c>
      <c r="J16" t="s">
        <v>353</v>
      </c>
      <c r="K16">
        <f>COUNTIF(Stats!D:D,'Player Count'!J16)</f>
        <v>2</v>
      </c>
      <c r="M16" s="109"/>
      <c r="N16" s="67" t="s">
        <v>381</v>
      </c>
      <c r="O16">
        <f>COUNTIF(Stats!D:D,'Player Count'!N16)</f>
        <v>3</v>
      </c>
      <c r="Q16" s="109"/>
    </row>
    <row r="17" spans="2:17" x14ac:dyDescent="0.3">
      <c r="B17" t="s">
        <v>309</v>
      </c>
      <c r="C17">
        <f>COUNTIF(Stats!D:D,'Player Count'!B17)</f>
        <v>8</v>
      </c>
      <c r="F17" t="s">
        <v>332</v>
      </c>
      <c r="G17">
        <f>COUNTIF(Stats!D:D,'Player Count'!F17)</f>
        <v>4</v>
      </c>
      <c r="J17" s="67" t="s">
        <v>354</v>
      </c>
      <c r="K17">
        <f>COUNTIF(Stats!D:D,'Player Count'!J17)</f>
        <v>1</v>
      </c>
      <c r="M17" s="109"/>
      <c r="N17" s="67" t="s">
        <v>382</v>
      </c>
      <c r="O17">
        <f>COUNTIF(Stats!D:D,'Player Count'!N17)</f>
        <v>1</v>
      </c>
      <c r="Q17" s="109"/>
    </row>
    <row r="18" spans="2:17" x14ac:dyDescent="0.3">
      <c r="B18" t="s">
        <v>310</v>
      </c>
      <c r="C18">
        <f>COUNTIF(Stats!D:D,'Player Count'!B18)</f>
        <v>11</v>
      </c>
      <c r="F18" t="s">
        <v>333</v>
      </c>
      <c r="G18">
        <f>COUNTIF(Stats!D:D,'Player Count'!F18)</f>
        <v>2</v>
      </c>
      <c r="J18" s="67" t="s">
        <v>355</v>
      </c>
      <c r="K18">
        <f>COUNTIF(Stats!D:D,'Player Count'!J18)</f>
        <v>4</v>
      </c>
      <c r="M18" s="109"/>
      <c r="N18" t="s">
        <v>383</v>
      </c>
      <c r="O18">
        <f>COUNTIF(Stats!D:D,'Player Count'!N18)</f>
        <v>1</v>
      </c>
      <c r="Q18" s="109"/>
    </row>
    <row r="19" spans="2:17" x14ac:dyDescent="0.3">
      <c r="B19" t="s">
        <v>311</v>
      </c>
      <c r="C19">
        <f>COUNTIF(Stats!D:D,'Player Count'!B19)</f>
        <v>7</v>
      </c>
      <c r="F19" t="s">
        <v>334</v>
      </c>
      <c r="G19">
        <f>COUNTIF(Stats!D:D,'Player Count'!F19)</f>
        <v>1</v>
      </c>
      <c r="J19" s="67" t="s">
        <v>356</v>
      </c>
      <c r="K19">
        <f>COUNTIF(Stats!D:D,'Player Count'!J19)</f>
        <v>0</v>
      </c>
      <c r="M19" s="109"/>
      <c r="N19" s="67" t="s">
        <v>393</v>
      </c>
      <c r="O19">
        <f>COUNTIF(Stats!D:D,'Player Count'!N19)</f>
        <v>2</v>
      </c>
      <c r="Q19" s="109"/>
    </row>
    <row r="20" spans="2:17" x14ac:dyDescent="0.3">
      <c r="B20" t="s">
        <v>312</v>
      </c>
      <c r="C20">
        <f>COUNTIF(Stats!D:D,'Player Count'!B20)</f>
        <v>3</v>
      </c>
      <c r="F20" t="s">
        <v>335</v>
      </c>
      <c r="G20">
        <f>COUNTIF(Stats!D:D,'Player Count'!F20)</f>
        <v>1</v>
      </c>
      <c r="J20" s="67" t="s">
        <v>367</v>
      </c>
      <c r="K20">
        <f>COUNTIF(Stats!D:D,'Player Count'!J20)</f>
        <v>0</v>
      </c>
      <c r="M20" s="109"/>
      <c r="N20" s="67" t="s">
        <v>384</v>
      </c>
      <c r="O20">
        <f>COUNTIF(Stats!D:D,'Player Count'!N20)</f>
        <v>0</v>
      </c>
      <c r="Q20" s="109"/>
    </row>
    <row r="21" spans="2:17" x14ac:dyDescent="0.3">
      <c r="B21" t="s">
        <v>313</v>
      </c>
      <c r="C21">
        <f>COUNTIF(Stats!D:D,'Player Count'!B21)</f>
        <v>3</v>
      </c>
      <c r="F21" t="s">
        <v>336</v>
      </c>
      <c r="G21">
        <f>COUNTIF(Stats!D:D,'Player Count'!F21)</f>
        <v>0</v>
      </c>
      <c r="J21" s="67" t="s">
        <v>357</v>
      </c>
      <c r="K21">
        <f>COUNTIF(Stats!D:D,'Player Count'!J21)</f>
        <v>1</v>
      </c>
      <c r="M21" s="109"/>
      <c r="N21" t="s">
        <v>385</v>
      </c>
      <c r="O21">
        <f>COUNTIF(Stats!D:D,'Player Count'!N21)</f>
        <v>5</v>
      </c>
      <c r="Q21" s="109"/>
    </row>
    <row r="22" spans="2:17" x14ac:dyDescent="0.3">
      <c r="B22" t="s">
        <v>314</v>
      </c>
      <c r="C22">
        <f>COUNTIF(Stats!D:D,'Player Count'!B22)</f>
        <v>0</v>
      </c>
      <c r="F22" t="s">
        <v>337</v>
      </c>
      <c r="G22">
        <f>COUNTIF(Stats!D:D,'Player Count'!F22)</f>
        <v>7</v>
      </c>
      <c r="J22" s="67" t="s">
        <v>358</v>
      </c>
      <c r="K22">
        <f>COUNTIF(Stats!D:D,'Player Count'!J22)</f>
        <v>1</v>
      </c>
      <c r="M22" s="109"/>
      <c r="N22" s="67" t="s">
        <v>386</v>
      </c>
      <c r="O22">
        <f>COUNTIF(Stats!D:D,'Player Count'!N22)</f>
        <v>0</v>
      </c>
      <c r="Q22" s="109"/>
    </row>
    <row r="23" spans="2:17" x14ac:dyDescent="0.3">
      <c r="B23" t="s">
        <v>315</v>
      </c>
      <c r="C23">
        <f>COUNTIF(Stats!D:D,'Player Count'!B23)</f>
        <v>8</v>
      </c>
      <c r="F23" t="s">
        <v>338</v>
      </c>
      <c r="G23">
        <f>COUNTIF(Stats!D:D,'Player Count'!F23)</f>
        <v>0</v>
      </c>
      <c r="J23" t="s">
        <v>359</v>
      </c>
      <c r="K23">
        <f>COUNTIF(Stats!D:D,'Player Count'!J23)</f>
        <v>1</v>
      </c>
      <c r="M23" s="109"/>
      <c r="N23" t="s">
        <v>387</v>
      </c>
      <c r="O23">
        <f>COUNTIF(Stats!D:D,'Player Count'!N23)</f>
        <v>3</v>
      </c>
      <c r="Q23" s="109"/>
    </row>
    <row r="24" spans="2:17" x14ac:dyDescent="0.3">
      <c r="B24" t="s">
        <v>316</v>
      </c>
      <c r="C24">
        <f>COUNTIF(Stats!D:D,'Player Count'!B24)</f>
        <v>1</v>
      </c>
      <c r="F24" t="s">
        <v>339</v>
      </c>
      <c r="G24">
        <f>COUNTIF(Stats!D:D,'Player Count'!F24)</f>
        <v>2</v>
      </c>
      <c r="J24" t="s">
        <v>360</v>
      </c>
      <c r="K24">
        <f>COUNTIF(Stats!D:D,'Player Count'!J24)</f>
        <v>2</v>
      </c>
      <c r="M24" s="109"/>
      <c r="N24" s="67" t="s">
        <v>388</v>
      </c>
      <c r="O24">
        <f>COUNTIF(Stats!D:D,'Player Count'!N24)</f>
        <v>3</v>
      </c>
      <c r="Q24" s="109"/>
    </row>
    <row r="25" spans="2:17" x14ac:dyDescent="0.3">
      <c r="B25" t="s">
        <v>317</v>
      </c>
      <c r="C25">
        <f>COUNTIF(Stats!D:D,'Player Count'!B25)</f>
        <v>1</v>
      </c>
      <c r="F25" t="s">
        <v>340</v>
      </c>
      <c r="G25">
        <f>COUNTIF(Stats!D:D,'Player Count'!F25)</f>
        <v>2</v>
      </c>
      <c r="J25" s="67" t="s">
        <v>361</v>
      </c>
      <c r="K25">
        <f>COUNTIF(Stats!D:D,'Player Count'!J25)</f>
        <v>1</v>
      </c>
      <c r="M25" s="109"/>
      <c r="N25" s="67" t="s">
        <v>389</v>
      </c>
      <c r="O25">
        <f>COUNTIF(Stats!D:D,'Player Count'!N25)</f>
        <v>3</v>
      </c>
      <c r="Q25" s="109"/>
    </row>
    <row r="26" spans="2:17" x14ac:dyDescent="0.3">
      <c r="B26" s="78" t="s">
        <v>319</v>
      </c>
      <c r="C26" s="78">
        <f>SUM(C6:C25)</f>
        <v>83</v>
      </c>
      <c r="F26" t="s">
        <v>341</v>
      </c>
      <c r="G26">
        <f>COUNTIF(Stats!D:D,'Player Count'!F26)</f>
        <v>2</v>
      </c>
      <c r="J26" t="s">
        <v>362</v>
      </c>
      <c r="K26">
        <f>COUNTIF(Stats!D:D,'Player Count'!J26)</f>
        <v>3</v>
      </c>
      <c r="M26" s="109"/>
      <c r="N26" s="67" t="s">
        <v>390</v>
      </c>
      <c r="O26">
        <f>COUNTIF(Stats!D:D,'Player Count'!N26)</f>
        <v>0</v>
      </c>
      <c r="Q26" s="109"/>
    </row>
    <row r="27" spans="2:17" x14ac:dyDescent="0.3">
      <c r="F27" t="s">
        <v>342</v>
      </c>
      <c r="G27">
        <f>COUNTIF(Stats!D:D,'Player Count'!F27)</f>
        <v>2</v>
      </c>
      <c r="J27" s="67" t="s">
        <v>368</v>
      </c>
      <c r="K27">
        <f>COUNTIF(Stats!D:D,'Player Count'!J27)</f>
        <v>4</v>
      </c>
      <c r="M27" s="109"/>
      <c r="N27" s="67" t="s">
        <v>391</v>
      </c>
      <c r="O27">
        <f>COUNTIF(Stats!D:D,'Player Count'!N27)</f>
        <v>3</v>
      </c>
      <c r="Q27" s="109"/>
    </row>
    <row r="28" spans="2:17" x14ac:dyDescent="0.3">
      <c r="F28" t="s">
        <v>343</v>
      </c>
      <c r="G28">
        <f>COUNTIF(Stats!D:D,'Player Count'!F28)</f>
        <v>4</v>
      </c>
      <c r="J28" s="67" t="s">
        <v>363</v>
      </c>
      <c r="K28">
        <f>COUNTIF(Stats!D:D,'Player Count'!J28)</f>
        <v>2</v>
      </c>
      <c r="M28" s="109"/>
      <c r="N28" s="67" t="s">
        <v>394</v>
      </c>
      <c r="O28">
        <f>COUNTIF(Stats!D:D,'Player Count'!N28)</f>
        <v>1</v>
      </c>
      <c r="Q28" s="109"/>
    </row>
    <row r="29" spans="2:17" x14ac:dyDescent="0.3">
      <c r="F29" t="s">
        <v>344</v>
      </c>
      <c r="G29">
        <f>COUNTIF(Stats!D:D,'Player Count'!F29)</f>
        <v>4</v>
      </c>
      <c r="J29" s="67" t="s">
        <v>369</v>
      </c>
      <c r="K29">
        <f>COUNTIF(Stats!D:D,'Player Count'!J29)</f>
        <v>2</v>
      </c>
      <c r="N29" t="s">
        <v>392</v>
      </c>
      <c r="O29">
        <f>COUNTIF(Stats!D:D,'Player Count'!N29)</f>
        <v>3</v>
      </c>
    </row>
    <row r="30" spans="2:17" x14ac:dyDescent="0.3">
      <c r="F30" s="78" t="s">
        <v>319</v>
      </c>
      <c r="G30" s="78">
        <f>SUM(G6:G29)</f>
        <v>61</v>
      </c>
      <c r="J30" s="78" t="s">
        <v>319</v>
      </c>
      <c r="K30" s="78">
        <f>SUM(K6:K29)</f>
        <v>42</v>
      </c>
      <c r="N30" s="78" t="s">
        <v>319</v>
      </c>
      <c r="O30" s="78">
        <f>SUM(O6:O29)</f>
        <v>37</v>
      </c>
    </row>
    <row r="38" spans="1:15" x14ac:dyDescent="0.3">
      <c r="A38" s="67" t="s">
        <v>425</v>
      </c>
      <c r="C38" s="114">
        <f>C26/SUM(C26,G30,K30,O30)</f>
        <v>0.37219730941704038</v>
      </c>
      <c r="D38" s="114"/>
      <c r="E38" s="114"/>
      <c r="F38" s="114"/>
      <c r="G38" s="114">
        <f>G30/SUM(C26,G30,K30,O30)</f>
        <v>0.273542600896861</v>
      </c>
      <c r="H38" s="114"/>
      <c r="I38" s="114"/>
      <c r="J38" s="114"/>
      <c r="K38" s="114">
        <f>K30/SUM(C26,G30,K30,O30)</f>
        <v>0.18834080717488788</v>
      </c>
      <c r="L38" s="114"/>
      <c r="M38" s="114"/>
      <c r="N38" s="114"/>
      <c r="O38" s="114">
        <f>O30/SUM(C26,G30,K30,O30)</f>
        <v>0.16591928251121077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2026-02-02T11:11:12Z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