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630" documentId="8_{C787F6C9-6D19-48E2-96AB-9D578E0B907B}" xr6:coauthVersionLast="47" xr6:coauthVersionMax="47" xr10:uidLastSave="{5F622B27-FA27-45B1-AFF7-3F76A6C49540}"/>
  <bookViews>
    <workbookView xWindow="-110" yWindow="-110" windowWidth="34620" windowHeight="13900" firstSheet="1" activeTab="2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<sst xmlns="http://schemas.openxmlformats.org/spreadsheetml/2006/main" count="1427" uniqueCount="550">
  <si>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</si>
  <si>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</si>
  <si>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</si>
  <si>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</si>
  <si>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</si>
  <si>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</si>
  <si>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</si>
  <si>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</si>
  <si>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</si>
  <si>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</si>
  <si>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</si>
  <si>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</si>
  <si>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</si>
  <si>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</si>
  <si>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</si>
  <si>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</si>
  <si>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</si>
  <si>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</si>
  <si>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</si>
  <si>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</si>
  <si>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</si>
  <si>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</si>
  <si>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</si>
  <si>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</si>
  <si>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</si>
  <si>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</si>
  <si>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</si>
  <si>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</si>
  <si>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</si>
  <si>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</si>
  <si>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</si>
  <si>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</si>
  <si>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</si>
  <si>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</si>
  <si>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</si>
  <si>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</si>
  <si>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</si>
  <si>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</si>
  <si>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</si>
  <si>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</si>
  <si>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</si>
  <si>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</si>
  <si>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</si>
  <si>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</si>
  <si>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</si>
  <si>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</si>
  <si>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</si>
  <si>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</si>
  <si>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</si>
  <si>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</si>
  <si>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</si>
  <si>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</si>
  <si>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</si>
  <si>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</si>
  <si>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</si>
  <si>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</si>
  <si>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</si>
  <si>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</si>
  <si>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</si>
  <si>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</si>
  <si>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</si>
  <si>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</si>
  <si>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</si>
  <si>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</si>
  <si>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</si>
  <si>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</si>
  <si>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</si>
  <si>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</si>
  <si>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</si>
  <si>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</si>
  <si>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</si>
  <si>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</si>
  <si>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</si>
  <si>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</si>
  <si>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</si>
  <si>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</si>
  <si>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</si>
  <si>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</si>
  <si>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</si>
  <si>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</si>
  <si>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</si>
  <si>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</si>
  <si>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</si>
  <si>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</si>
  <si>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</si>
  <si>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</si>
  <si>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</si>
  <si>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</si>
  <si>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</si>
  <si>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</si>
  <si>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</si>
  <si>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</si>
  <si>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</si>
  <si>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</si>
  <si>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</si>
  <si>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</si>
  <si>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</si>
  <si>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</si>
  <si>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</si>
  <si>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</si>
  <si>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</si>
  <si>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</si>
  <si>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</si>
  <si>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</si>
  <si>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</si>
  <si>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</si>
  <si>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</si>
  <si>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</si>
  <si>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</si>
  <si>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</si>
  <si>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</si>
  <si>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</si>
  <si>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</si>
  <si>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</si>
  <si>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</si>
  <si>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</si>
  <si>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</si>
  <si>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</si>
  <si>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</si>
  <si>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</si>
  <si>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</si>
  <si>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</si>
  <si>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</si>
  <si>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</si>
  <si>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</si>
  <si>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</si>
  <si>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</si>
  <si>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</si>
  <si>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</si>
  <si>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</si>
  <si>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</si>
  <si>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</si>
  <si>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</si>
  <si>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</si>
  <si>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</si>
  <si>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</si>
  <si>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</si>
  <si>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</si>
  <si>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</si>
  <si>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</si>
  <si>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</si>
  <si>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</si>
  <si>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</si>
  <si>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</si>
  <si>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</si>
  <si>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</si>
  <si>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</si>
  <si>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</si>
  <si>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</si>
  <si>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</si>
  <si>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</si>
  <si>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</si>
  <si>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</si>
  <si>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</si>
  <si>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</si>
  <si>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</si>
  <si>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</si>
  <si>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</si>
  <si>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</si>
  <si>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</si>
  <si>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</si>
  <si>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</si>
  <si>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</si>
  <si>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</si>
  <si>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</si>
  <si>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</si>
  <si>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</si>
  <si>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</si>
  <si>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</si>
  <si>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</si>
  <si>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</si>
  <si>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</si>
  <si>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</si>
  <si>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</si>
  <si>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</si>
  <si>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</si>
  <si>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</si>
  <si>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</si>
  <si>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</si>
  <si>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</si>
  <si>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</si>
  <si>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</si>
  <si>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</si>
  <si>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</si>
  <si>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</si>
  <si>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</si>
  <si>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</si>
  <si>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</si>
  <si>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</si>
  <si>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</si>
  <si>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</si>
  <si>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</si>
  <si>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</si>
  <si>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</si>
  <si>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</si>
  <si>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</si>
  <si>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</si>
  <si>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</si>
  <si>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</si>
  <si>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</si>
  <si>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</si>
  <si>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</si>
  <si>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</si>
  <si>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</si>
  <si>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</si>
  <si>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</si>
  <si>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</si>
  <si>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</si>
  <si>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</si>
  <si>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</si>
  <si>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</si>
  <si>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</si>
  <si>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</si>
  <si>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</si>
  <si>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</si>
  <si>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</si>
  <si>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</si>
  <si>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</si>
  <si>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</si>
  <si>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</si>
  <si>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</si>
  <si>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</si>
  <si>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</si>
  <si>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</si>
  <si>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</si>
  <si>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</si>
  <si>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</si>
  <si>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</si>
  <si>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</si>
  <si>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</si>
  <si>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</si>
  <si>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</si>
  <si>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</si>
  <si>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</si>
  <si>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</si>
  <si>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</si>
  <si>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</si>
  <si>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</si>
  <si>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</si>
  <si>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</si>
  <si>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</si>
  <si>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</si>
  <si>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</si>
  <si>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</si>
  <si>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</si>
  <si>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</si>
  <si>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</si>
  <si>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</si>
  <si>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</si>
  <si>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</si>
  <si>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</si>
  <si>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</si>
  <si>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</si>
  <si>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</si>
  <si>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</si>
  <si>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</si>
  <si>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</si>
  <si>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</si>
  <si>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</si>
  <si>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</si>
  <si>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</si>
  <si>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</si>
  <si>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</si>
  <si>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</si>
  <si>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</si>
  <si>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</si>
  <si>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</si>
  <si>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</si>
  <si>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</si>
  <si>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</si>
  <si>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</si>
  <si>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</si>
  <si>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</si>
  <si>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</si>
  <si>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</si>
  <si>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</si>
  <si>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</si>
  <si>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</si>
  <si>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</si>
  <si>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</si>
  <si>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</si>
  <si>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</si>
  <si>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</si>
  <si>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</si>
  <si>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</si>
  <si>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</si>
  <si>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</si>
  <si>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</si>
  <si>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</si>
  <si>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</si>
  <si>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</si>
  <si>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</si>
  <si>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</si>
  <si>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</si>
  <si>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</si>
  <si>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</si>
  <si>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</si>
  <si>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</si>
  <si>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</si>
  <si>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</si>
  <si>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</si>
  <si>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</si>
  <si>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</si>
  <si>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</si>
  <si>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</si>
  <si>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</si>
  <si>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</si>
  <si>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</si>
  <si>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</si>
  <si>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</si>
  <si>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</si>
  <si>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</si>
  <si>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</si>
  <si>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</si>
  <si>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</si>
  <si>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</si>
  <si>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</si>
  <si>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</si>
  <si>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</si>
  <si>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</si>
  <si>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</si>
  <si>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</si>
  <si>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</si>
  <si>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</si>
  <si>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</si>
  <si>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</si>
  <si>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</si>
  <si>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</si>
  <si>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</si>
  <si>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</si>
  <si>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</si>
  <si>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</si>
  <si>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</si>
  <si>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</si>
  <si>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</si>
  <si>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</si>
  <si>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</si>
  <si>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</si>
  <si>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</si>
  <si>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</si>
  <si>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</si>
  <si>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</si>
  <si>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</si>
  <si>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</si>
  <si>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</si>
  <si>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</si>
  <si>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</si>
  <si>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</si>
  <si>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</si>
  <si>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</si>
  <si>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</si>
  <si>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</si>
  <si>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</si>
  <si>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</si>
  <si>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</si>
  <si>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</si>
  <si>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</si>
  <si>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</si>
  <si>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</si>
  <si>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</si>
  <si>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</si>
  <si>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</si>
  <si>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</si>
  <si>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</si>
  <si>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</si>
  <si>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</si>
  <si>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</si>
  <si>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</si>
  <si>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</si>
  <si>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</si>
  <si>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</si>
  <si>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</si>
  <si>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</si>
  <si>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</si>
  <si>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</si>
  <si>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</si>
  <si>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</si>
  <si>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</si>
  <si>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</si>
  <si>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</si>
  <si>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</si>
  <si>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</si>
  <si>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</si>
  <si>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</si>
  <si>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</si>
  <si>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</si>
  <si>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</si>
  <si>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</si>
  <si>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</si>
  <si>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</si>
  <si>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</si>
  <si>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</si>
  <si>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</si>
  <si>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</si>
  <si>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</si>
  <si>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</si>
  <si>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</si>
  <si>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</si>
  <si>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</si>
  <si>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</si>
  <si>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</si>
  <si>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</si>
  <si>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</si>
  <si>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</si>
  <si>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</si>
  <si>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</si>
  <si>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</si>
  <si>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</si>
  <si>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</si>
  <si>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</si>
  <si>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</si>
  <si>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</si>
  <si>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</si>
  <si>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</si>
  <si>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</si>
  <si>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</si>
  <si>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</si>
  <si>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</si>
  <si>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</si>
  <si>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</si>
  <si>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</si>
  <si>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</si>
  <si>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</si>
  <si>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</si>
  <si>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</si>
  <si>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</si>
  <si>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</si>
  <si>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</si>
  <si>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</si>
  <si>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</si>
  <si>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</si>
  <si>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</si>
  <si>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</si>
  <si>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</si>
  <si>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</si>
  <si>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</si>
  <si>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</si>
  <si>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</si>
  <si>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</si>
  <si>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</si>
  <si>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</si>
  <si>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</si>
  <si>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</si>
  <si>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</si>
  <si>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</si>
  <si>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</si>
  <si>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</si>
  <si>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</si>
  <si>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</si>
  <si>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</si>
  <si>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</si>
  <si>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</si>
  <si>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</si>
  <si>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</si>
  <si>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</si>
  <si>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</si>
  <si>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</si>
  <si>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</si>
  <si>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</si>
  <si>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</si>
  <si>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</si>
  <si>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</si>
  <si>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</si>
  <si>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</si>
  <si>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</si>
  <si>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</si>
  <si>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</si>
  <si>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</si>
  <si>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</si>
  <si>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</si>
  <si>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</si>
  <si>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</si>
  <si>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</si>
  <si>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</si>
  <si>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</si>
  <si>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</si>
  <si>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</si>
  <si>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</si>
  <si>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</si>
  <si>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</si>
  <si>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</si>
  <si>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</si>
  <si>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</si>
  <si>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MIKEL MERINO</t>
  </si>
  <si>
    <t>ELLIS SIMMS</t>
  </si>
  <si>
    <t>ESTEVAO WILLIAN</t>
  </si>
  <si>
    <t>DONYELL MALEN</t>
  </si>
  <si>
    <t>LEANDRO TROSSARD</t>
  </si>
  <si>
    <t>XAVI SIMONS</t>
  </si>
  <si>
    <t>(5 - 1)</t>
  </si>
  <si>
    <t>(4 - 4)</t>
  </si>
  <si>
    <t>MORGAN WHITTAKER</t>
  </si>
  <si>
    <t>DANIEL KANU</t>
  </si>
  <si>
    <t>NATHANIEL MENDEZ-LAING</t>
  </si>
  <si>
    <t>(6 - 1)</t>
  </si>
  <si>
    <t>AUNE HEGGEBO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</si>
  <si>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</si>
  <si>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</si>
  <si>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</si>
  <si>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</si>
  <si>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</si>
  <si>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</si>
  <si>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</si>
  <si>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</si>
  <si>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BRENNAN JOHNSON</t>
  </si>
  <si>
    <t>PATRICK BAMFORD</t>
  </si>
  <si>
    <t>CAMBRIDGE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</si>
  <si>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</si>
  <si>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</si>
  <si>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</si>
  <si>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</si>
  <si>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</si>
  <si>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</si>
  <si>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</si>
  <si>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</si>
  <si>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ROMA</t>
  </si>
  <si>
    <t>FEMI AZEEZ</t>
  </si>
  <si>
    <t>TIMUR TUTIEROV</t>
  </si>
  <si>
    <t>EXETER</t>
  </si>
  <si>
    <t>CALLUM PATERSON</t>
  </si>
  <si>
    <t>JACK CLARKE</t>
  </si>
  <si>
    <t>JAYDEN WAREHAM</t>
  </si>
  <si>
    <t>(5 - 2)</t>
  </si>
  <si>
    <t>(2 - 3)</t>
  </si>
  <si>
    <t>(3 - 0)</t>
  </si>
  <si>
    <t>1st Round Replays</t>
  </si>
  <si>
    <t>KYRELL LISBIE</t>
  </si>
  <si>
    <t>MOHAMED TOURE</t>
  </si>
  <si>
    <t>NATH'S ROVERS</t>
  </si>
  <si>
    <t>JAKE BEESLEY</t>
  </si>
  <si>
    <t>BURTON</t>
  </si>
  <si>
    <t>MATEUS MANE</t>
  </si>
  <si>
    <t>MARCUS BROWNE</t>
  </si>
  <si>
    <t>ARIBIM PEPPLE</t>
  </si>
  <si>
    <t>(3 - 1)</t>
  </si>
  <si>
    <t>Qtr Final Replays</t>
  </si>
  <si>
    <t>DAVID MCGOLDRICK</t>
  </si>
  <si>
    <t>BARNSLEY</t>
  </si>
  <si>
    <t>DOMINIK SZOBOSZLAI</t>
  </si>
  <si>
    <t>ROB STREET</t>
  </si>
  <si>
    <t>EVANN GUESSAND</t>
  </si>
  <si>
    <t>MARVIN DUCKSCH</t>
  </si>
  <si>
    <t>ADAMA SIDIBEH</t>
  </si>
  <si>
    <t>Semi Final Replay</t>
  </si>
  <si>
    <t>BARROW</t>
  </si>
  <si>
    <t>JOE TAYLOR</t>
  </si>
  <si>
    <t>ANDY COOK</t>
  </si>
  <si>
    <t>CRYSENCIO SUMMERVILLE</t>
  </si>
  <si>
    <t>MANCHESTER UTD</t>
  </si>
  <si>
    <t>JACK MOYLAN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</si>
</sst>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0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9"/>
      <c r="S4" s="119"/>
      <c r="T4" s="119"/>
      <c r="U4" s="119"/>
      <c r="V4" s="119"/>
    </row>
    <row r="5" spans="1:22" ht="13.4" customHeight="1" x14ac:dyDescent="0.3">
      <c r="A5" s="79"/>
      <c r="B5" s="110" t="s">
        <v>13</v>
      </c>
      <c r="C5" s="111"/>
      <c r="D5" s="110" t="s">
        <v>18</v>
      </c>
      <c r="E5" s="112">
        <v>1</v>
      </c>
      <c r="F5" s="113">
        <v>32</v>
      </c>
      <c r="G5" s="83" t="s">
        <v>285</v>
      </c>
      <c r="H5" s="84">
        <v>46093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30</v>
      </c>
      <c r="N5" s="19">
        <f>SUM(F8:F25)</f>
        <v>66</v>
      </c>
      <c r="O5" s="20">
        <f>SUM(F5:F7)</f>
        <v>36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404</v>
      </c>
      <c r="E6" s="22" t="s">
        <v>284</v>
      </c>
      <c r="F6" s="21">
        <v>4</v>
      </c>
      <c r="G6" s="86">
        <v>46093</v>
      </c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30</v>
      </c>
      <c r="N6" s="26">
        <f>SUM(F35:F52)</f>
        <v>84</v>
      </c>
      <c r="O6" s="27">
        <f>SUM(F32:F34)</f>
        <v>54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37</v>
      </c>
      <c r="N7" s="26">
        <f>SUM(F62:F79)</f>
        <v>75</v>
      </c>
      <c r="O7" s="27">
        <f>SUM(F59:F61)</f>
        <v>38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182</v>
      </c>
      <c r="D8" s="28" t="s">
        <v>167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38</v>
      </c>
      <c r="N8" s="26">
        <f>SUM(F89:F106)</f>
        <v>85</v>
      </c>
      <c r="O8" s="27">
        <f>SUM(F86:F88)</f>
        <v>47</v>
      </c>
    </row>
    <row r="9" spans="1:22" ht="13.4" customHeight="1" x14ac:dyDescent="0.3">
      <c r="A9" s="79"/>
      <c r="B9" s="28" t="s">
        <v>14</v>
      </c>
      <c r="C9" s="28" t="s">
        <v>183</v>
      </c>
      <c r="D9" s="28" t="s">
        <v>74</v>
      </c>
      <c r="E9" s="29">
        <v>1</v>
      </c>
      <c r="F9" s="30">
        <v>2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31</v>
      </c>
      <c r="N9" s="73">
        <f>SUM(F116:F133)</f>
        <v>80</v>
      </c>
      <c r="O9" s="74">
        <f>SUM(F113:F115)</f>
        <v>49</v>
      </c>
    </row>
    <row r="10" spans="1:22" ht="13.4" customHeight="1" x14ac:dyDescent="0.3">
      <c r="A10" s="79"/>
      <c r="B10" s="106" t="s">
        <v>16</v>
      </c>
      <c r="C10" s="106" t="s">
        <v>504</v>
      </c>
      <c r="D10" s="106" t="s">
        <v>24</v>
      </c>
      <c r="E10" s="107">
        <v>11</v>
      </c>
      <c r="F10" s="108">
        <v>4</v>
      </c>
      <c r="G10" s="87" t="s">
        <v>285</v>
      </c>
      <c r="H10" s="84">
        <v>46009</v>
      </c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34</v>
      </c>
      <c r="N10" s="26">
        <f>SUM(F143:F160)</f>
        <v>91</v>
      </c>
      <c r="O10" s="27">
        <f>SUM(F140:F142)</f>
        <v>57</v>
      </c>
      <c r="R10" s="119"/>
      <c r="S10" s="119"/>
      <c r="T10" s="119"/>
      <c r="U10" s="119"/>
      <c r="V10" s="119"/>
    </row>
    <row r="11" spans="1:22" ht="13.4" customHeight="1" x14ac:dyDescent="0.3">
      <c r="A11" s="79"/>
      <c r="B11" s="28" t="s">
        <v>16</v>
      </c>
      <c r="C11" s="28" t="s">
        <v>197</v>
      </c>
      <c r="D11" s="28" t="s">
        <v>100</v>
      </c>
      <c r="E11" s="29" t="s">
        <v>284</v>
      </c>
      <c r="F11" s="30">
        <v>3</v>
      </c>
      <c r="G11" s="87">
        <v>46009</v>
      </c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11</v>
      </c>
      <c r="N11" s="26">
        <f>SUM(F170:F187)</f>
        <v>60</v>
      </c>
      <c r="O11" s="27">
        <f>SUM(F167:F169)</f>
        <v>49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165</v>
      </c>
      <c r="D12" s="106" t="s">
        <v>134</v>
      </c>
      <c r="E12" s="107">
        <v>1</v>
      </c>
      <c r="F12" s="108">
        <v>1</v>
      </c>
      <c r="G12" s="87" t="s">
        <v>285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10</v>
      </c>
      <c r="N12" s="73">
        <f>SUM(F197:F214)</f>
        <v>57</v>
      </c>
      <c r="O12" s="74">
        <f>SUM(F194:F196)</f>
        <v>47</v>
      </c>
    </row>
    <row r="13" spans="1:22" ht="13.4" customHeight="1" x14ac:dyDescent="0.3">
      <c r="A13" s="79"/>
      <c r="B13" s="28" t="s">
        <v>16</v>
      </c>
      <c r="C13" s="28" t="s">
        <v>451</v>
      </c>
      <c r="D13" s="28" t="s">
        <v>104</v>
      </c>
      <c r="E13" s="29" t="s">
        <v>284</v>
      </c>
      <c r="F13" s="30">
        <v>9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24</v>
      </c>
      <c r="N13" s="73">
        <f>SUM(F224:F241)</f>
        <v>89</v>
      </c>
      <c r="O13" s="74">
        <f>SUM(F221:F223)</f>
        <v>65</v>
      </c>
      <c r="R13" s="119"/>
      <c r="S13" s="119"/>
      <c r="T13" s="119"/>
      <c r="U13" s="119"/>
      <c r="V13" s="119"/>
    </row>
    <row r="14" spans="1:22" ht="13.4" customHeight="1" x14ac:dyDescent="0.3">
      <c r="A14" s="79"/>
      <c r="B14" s="28" t="s">
        <v>16</v>
      </c>
      <c r="C14" s="28" t="s">
        <v>184</v>
      </c>
      <c r="D14" s="28" t="s">
        <v>121</v>
      </c>
      <c r="E14" s="29">
        <v>1</v>
      </c>
      <c r="F14" s="30">
        <v>7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13</v>
      </c>
      <c r="N14" s="73">
        <f>SUM(F251:F268)</f>
        <v>76</v>
      </c>
      <c r="O14" s="74">
        <f>SUM(F248:F250)</f>
        <v>63</v>
      </c>
      <c r="S14" s="102"/>
      <c r="T14" s="101"/>
      <c r="U14" s="102"/>
    </row>
    <row r="15" spans="1:22" ht="13.4" customHeight="1" x14ac:dyDescent="0.3">
      <c r="A15" s="79"/>
      <c r="B15" s="106" t="s">
        <v>17</v>
      </c>
      <c r="C15" s="106" t="s">
        <v>169</v>
      </c>
      <c r="D15" s="106" t="s">
        <v>90</v>
      </c>
      <c r="E15" s="107">
        <v>14</v>
      </c>
      <c r="F15" s="108">
        <v>0</v>
      </c>
      <c r="G15" s="87" t="s">
        <v>285</v>
      </c>
      <c r="H15" s="84">
        <v>45897</v>
      </c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14</v>
      </c>
      <c r="N15" s="26">
        <f>SUM(F278:F295)</f>
        <v>68</v>
      </c>
      <c r="O15" s="27">
        <f>SUM(F275:F277)</f>
        <v>54</v>
      </c>
    </row>
    <row r="16" spans="1:22" ht="13.4" customHeight="1" x14ac:dyDescent="0.3">
      <c r="A16" s="79"/>
      <c r="B16" s="28" t="s">
        <v>17</v>
      </c>
      <c r="C16" s="28" t="s">
        <v>410</v>
      </c>
      <c r="D16" s="28" t="s">
        <v>411</v>
      </c>
      <c r="E16" s="29" t="s">
        <v>284</v>
      </c>
      <c r="F16" s="30">
        <v>3</v>
      </c>
      <c r="G16" s="84">
        <v>45897</v>
      </c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38</v>
      </c>
      <c r="N16" s="26">
        <f>SUM(F305:F322)</f>
        <v>95</v>
      </c>
      <c r="O16" s="27">
        <f>SUM(F302:F304)</f>
        <v>57</v>
      </c>
    </row>
    <row r="17" spans="1:22" ht="13.4" customHeight="1" x14ac:dyDescent="0.3">
      <c r="A17" s="79"/>
      <c r="B17" s="28" t="s">
        <v>17</v>
      </c>
      <c r="C17" s="28" t="s">
        <v>123</v>
      </c>
      <c r="D17" s="28" t="s">
        <v>118</v>
      </c>
      <c r="E17" s="29">
        <v>15</v>
      </c>
      <c r="F17" s="30">
        <v>10</v>
      </c>
      <c r="G17" s="84"/>
      <c r="H17" s="84"/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9</v>
      </c>
      <c r="N17" s="26">
        <f>SUM(F332:F349)</f>
        <v>55</v>
      </c>
      <c r="O17" s="27">
        <f>SUM(F329:F331)</f>
        <v>46</v>
      </c>
      <c r="R17" s="119"/>
      <c r="S17" s="119"/>
      <c r="T17" s="119"/>
      <c r="U17" s="119"/>
      <c r="V17" s="119"/>
    </row>
    <row r="18" spans="1:22" ht="13.4" customHeight="1" thickBot="1" x14ac:dyDescent="0.35">
      <c r="A18" s="79"/>
      <c r="B18" s="106" t="s">
        <v>17</v>
      </c>
      <c r="C18" s="106" t="s">
        <v>185</v>
      </c>
      <c r="D18" s="106" t="s">
        <v>85</v>
      </c>
      <c r="E18" s="107">
        <v>17</v>
      </c>
      <c r="F18" s="108">
        <v>0</v>
      </c>
      <c r="G18" s="83" t="s">
        <v>285</v>
      </c>
      <c r="H18" s="84">
        <v>45883</v>
      </c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15</v>
      </c>
      <c r="N18" s="26">
        <f>SUM(F359:F376)</f>
        <v>63</v>
      </c>
      <c r="O18" s="27">
        <f>SUM(F356:F358)</f>
        <v>48</v>
      </c>
      <c r="S18" s="102"/>
      <c r="T18" s="101"/>
      <c r="U18" s="102"/>
    </row>
    <row r="19" spans="1:22" ht="13.4" customHeight="1" x14ac:dyDescent="0.3">
      <c r="A19" s="79"/>
      <c r="B19" s="106" t="s">
        <v>17</v>
      </c>
      <c r="C19" s="106" t="s">
        <v>290</v>
      </c>
      <c r="D19" s="106" t="s">
        <v>291</v>
      </c>
      <c r="E19" s="107" t="s">
        <v>284</v>
      </c>
      <c r="F19" s="108">
        <v>0</v>
      </c>
      <c r="G19" s="87">
        <v>45883</v>
      </c>
      <c r="H19" s="84">
        <v>45932</v>
      </c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28" t="s">
        <v>17</v>
      </c>
      <c r="C20" s="28" t="s">
        <v>452</v>
      </c>
      <c r="D20" s="28" t="s">
        <v>134</v>
      </c>
      <c r="E20" s="29" t="s">
        <v>284</v>
      </c>
      <c r="F20" s="30">
        <v>16</v>
      </c>
      <c r="G20" s="87">
        <v>45932</v>
      </c>
      <c r="H20" s="84"/>
      <c r="I20" s="99"/>
      <c r="J20" s="76"/>
      <c r="K20" s="1"/>
      <c r="L20" s="1"/>
      <c r="M20" s="1"/>
      <c r="N20" s="1"/>
      <c r="O20" s="1"/>
      <c r="R20" s="119"/>
      <c r="S20" s="119"/>
      <c r="T20" s="119"/>
      <c r="U20" s="119"/>
      <c r="V20" s="119"/>
    </row>
    <row r="21" spans="1:22" ht="13.4" customHeight="1" x14ac:dyDescent="0.3">
      <c r="A21" s="79"/>
      <c r="B21" s="106" t="s">
        <v>17</v>
      </c>
      <c r="C21" s="106" t="s">
        <v>186</v>
      </c>
      <c r="D21" s="106" t="s">
        <v>95</v>
      </c>
      <c r="E21" s="107">
        <v>8</v>
      </c>
      <c r="F21" s="108">
        <v>3</v>
      </c>
      <c r="G21" s="87" t="s">
        <v>285</v>
      </c>
      <c r="H21" s="84">
        <v>46002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487</v>
      </c>
      <c r="D22" s="28" t="s">
        <v>18</v>
      </c>
      <c r="E22" s="29" t="s">
        <v>284</v>
      </c>
      <c r="F22" s="30">
        <v>1</v>
      </c>
      <c r="G22" s="87">
        <v>46002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 t="s">
        <v>17</v>
      </c>
      <c r="C23" s="106" t="s">
        <v>187</v>
      </c>
      <c r="D23" s="106" t="s">
        <v>80</v>
      </c>
      <c r="E23" s="107">
        <v>1</v>
      </c>
      <c r="F23" s="108">
        <v>1</v>
      </c>
      <c r="G23" s="87" t="s">
        <v>285</v>
      </c>
      <c r="H23" s="84">
        <v>45911</v>
      </c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 t="s">
        <v>17</v>
      </c>
      <c r="C24" s="106" t="s">
        <v>427</v>
      </c>
      <c r="D24" s="106" t="s">
        <v>94</v>
      </c>
      <c r="E24" s="107" t="s">
        <v>284</v>
      </c>
      <c r="F24" s="108">
        <v>2</v>
      </c>
      <c r="G24" s="87">
        <v>45911</v>
      </c>
      <c r="H24" s="84">
        <v>46023</v>
      </c>
      <c r="I24" s="89"/>
      <c r="J24" s="1"/>
      <c r="K24" s="1"/>
      <c r="L24" s="1"/>
      <c r="M24" s="1"/>
      <c r="N24" s="1"/>
      <c r="O24" s="1"/>
      <c r="R24" s="119"/>
      <c r="S24" s="119"/>
      <c r="T24" s="119"/>
      <c r="U24" s="119"/>
      <c r="V24" s="119"/>
    </row>
    <row r="25" spans="1:22" ht="13.4" customHeight="1" thickBot="1" x14ac:dyDescent="0.35">
      <c r="A25" s="79"/>
      <c r="B25" s="28" t="s">
        <v>17</v>
      </c>
      <c r="C25" s="28" t="s">
        <v>497</v>
      </c>
      <c r="D25" s="28" t="s">
        <v>74</v>
      </c>
      <c r="E25" s="29" t="s">
        <v>284</v>
      </c>
      <c r="F25" s="30">
        <v>3</v>
      </c>
      <c r="G25" s="87">
        <v>46023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30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9"/>
      <c r="S28" s="119"/>
      <c r="T28" s="119"/>
      <c r="U28" s="119"/>
      <c r="V28" s="119"/>
    </row>
    <row r="29" spans="1:22" ht="13.4" customHeight="1" x14ac:dyDescent="0.3">
      <c r="A29" s="1"/>
      <c r="B29" s="1"/>
      <c r="C29" s="3" t="s">
        <v>188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15" t="s">
        <v>13</v>
      </c>
      <c r="C32" s="111"/>
      <c r="D32" s="110" t="s">
        <v>122</v>
      </c>
      <c r="E32" s="112">
        <v>1</v>
      </c>
      <c r="F32" s="113">
        <v>44</v>
      </c>
      <c r="G32" s="80" t="s">
        <v>285</v>
      </c>
      <c r="H32" s="94">
        <v>46072</v>
      </c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115" t="s">
        <v>13</v>
      </c>
      <c r="C33" s="115"/>
      <c r="D33" s="115" t="s">
        <v>85</v>
      </c>
      <c r="E33" s="116" t="s">
        <v>284</v>
      </c>
      <c r="F33" s="115">
        <v>6</v>
      </c>
      <c r="G33" s="86">
        <v>46072</v>
      </c>
      <c r="H33" s="94">
        <v>46107</v>
      </c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8" t="s">
        <v>13</v>
      </c>
      <c r="C34" s="21"/>
      <c r="D34" s="21" t="s">
        <v>138</v>
      </c>
      <c r="E34" s="22" t="s">
        <v>284</v>
      </c>
      <c r="F34" s="21">
        <v>4</v>
      </c>
      <c r="G34" s="86">
        <v>46107</v>
      </c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189</v>
      </c>
      <c r="D35" s="28" t="s">
        <v>83</v>
      </c>
      <c r="E35" s="29">
        <v>4</v>
      </c>
      <c r="F35" s="30">
        <v>4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5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 t="s">
        <v>16</v>
      </c>
      <c r="C37" s="28" t="s">
        <v>105</v>
      </c>
      <c r="D37" s="28" t="s">
        <v>19</v>
      </c>
      <c r="E37" s="29">
        <v>32</v>
      </c>
      <c r="F37" s="30">
        <v>10</v>
      </c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72</v>
      </c>
      <c r="D38" s="28" t="s">
        <v>58</v>
      </c>
      <c r="E38" s="29">
        <v>12</v>
      </c>
      <c r="F38" s="30">
        <v>10</v>
      </c>
      <c r="G38" s="87"/>
      <c r="H38" s="91"/>
      <c r="I38" s="93"/>
      <c r="J38" s="76"/>
      <c r="K38" s="1"/>
      <c r="L38" s="1"/>
      <c r="M38" s="1"/>
      <c r="N38" s="1"/>
      <c r="O38" s="1"/>
      <c r="R38" s="119"/>
      <c r="S38" s="119"/>
      <c r="T38" s="119"/>
      <c r="U38" s="119"/>
      <c r="V38" s="119"/>
    </row>
    <row r="39" spans="1:22" ht="13.4" customHeight="1" x14ac:dyDescent="0.3">
      <c r="A39" s="79"/>
      <c r="B39" s="28" t="s">
        <v>16</v>
      </c>
      <c r="C39" s="28" t="s">
        <v>190</v>
      </c>
      <c r="D39" s="28" t="s">
        <v>83</v>
      </c>
      <c r="E39" s="29">
        <v>1</v>
      </c>
      <c r="F39" s="30">
        <v>15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106" t="s">
        <v>17</v>
      </c>
      <c r="C40" s="106" t="s">
        <v>61</v>
      </c>
      <c r="D40" s="106" t="s">
        <v>74</v>
      </c>
      <c r="E40" s="107">
        <v>2</v>
      </c>
      <c r="F40" s="108">
        <v>0</v>
      </c>
      <c r="G40" s="87" t="s">
        <v>285</v>
      </c>
      <c r="H40" s="91">
        <v>45876</v>
      </c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106" t="s">
        <v>17</v>
      </c>
      <c r="C41" s="106" t="s">
        <v>286</v>
      </c>
      <c r="D41" s="106" t="s">
        <v>70</v>
      </c>
      <c r="E41" s="107" t="s">
        <v>284</v>
      </c>
      <c r="F41" s="108">
        <v>5</v>
      </c>
      <c r="G41" s="87">
        <v>45876</v>
      </c>
      <c r="H41" s="91">
        <v>46051</v>
      </c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106" t="s">
        <v>17</v>
      </c>
      <c r="C42" s="106" t="s">
        <v>520</v>
      </c>
      <c r="D42" s="106" t="s">
        <v>132</v>
      </c>
      <c r="E42" s="107" t="s">
        <v>284</v>
      </c>
      <c r="F42" s="108">
        <v>2</v>
      </c>
      <c r="G42" s="87">
        <v>46051</v>
      </c>
      <c r="H42" s="91">
        <v>46107</v>
      </c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545</v>
      </c>
      <c r="D43" s="28" t="s">
        <v>94</v>
      </c>
      <c r="E43" s="29" t="s">
        <v>284</v>
      </c>
      <c r="F43" s="30">
        <v>1</v>
      </c>
      <c r="G43" s="87">
        <v>46107</v>
      </c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108</v>
      </c>
      <c r="D44" s="28" t="s">
        <v>70</v>
      </c>
      <c r="E44" s="29">
        <v>12</v>
      </c>
      <c r="F44" s="30">
        <v>7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191</v>
      </c>
      <c r="D45" s="106" t="s">
        <v>86</v>
      </c>
      <c r="E45" s="107">
        <v>9</v>
      </c>
      <c r="F45" s="108">
        <v>0</v>
      </c>
      <c r="G45" s="87" t="s">
        <v>285</v>
      </c>
      <c r="H45" s="91">
        <v>45904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106" t="s">
        <v>17</v>
      </c>
      <c r="C46" s="106" t="s">
        <v>429</v>
      </c>
      <c r="D46" s="106" t="s">
        <v>24</v>
      </c>
      <c r="E46" s="107" t="s">
        <v>284</v>
      </c>
      <c r="F46" s="108">
        <v>3</v>
      </c>
      <c r="G46" s="91">
        <v>45904</v>
      </c>
      <c r="H46" s="91">
        <v>46051</v>
      </c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6" t="s">
        <v>17</v>
      </c>
      <c r="C47" s="106" t="s">
        <v>430</v>
      </c>
      <c r="D47" s="106" t="s">
        <v>82</v>
      </c>
      <c r="E47" s="107" t="s">
        <v>284</v>
      </c>
      <c r="F47" s="108">
        <v>0</v>
      </c>
      <c r="G47" s="91">
        <v>46051</v>
      </c>
      <c r="H47" s="91">
        <v>46065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529</v>
      </c>
      <c r="D48" s="28" t="s">
        <v>530</v>
      </c>
      <c r="E48" s="29" t="s">
        <v>284</v>
      </c>
      <c r="F48" s="30">
        <v>1</v>
      </c>
      <c r="G48" s="91">
        <v>46065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6" t="s">
        <v>17</v>
      </c>
      <c r="C49" s="106" t="s">
        <v>119</v>
      </c>
      <c r="D49" s="106" t="s">
        <v>192</v>
      </c>
      <c r="E49" s="107">
        <v>1</v>
      </c>
      <c r="F49" s="108">
        <v>1</v>
      </c>
      <c r="G49" s="91" t="s">
        <v>285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 t="s">
        <v>17</v>
      </c>
      <c r="C50" s="106" t="s">
        <v>424</v>
      </c>
      <c r="D50" s="106" t="s">
        <v>89</v>
      </c>
      <c r="E50" s="107" t="s">
        <v>284</v>
      </c>
      <c r="F50" s="108">
        <v>6</v>
      </c>
      <c r="G50" s="91">
        <v>45904</v>
      </c>
      <c r="H50" s="91">
        <v>46051</v>
      </c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521</v>
      </c>
      <c r="D51" s="28" t="s">
        <v>518</v>
      </c>
      <c r="E51" s="29" t="s">
        <v>284</v>
      </c>
      <c r="F51" s="30">
        <v>8</v>
      </c>
      <c r="G51" s="91">
        <v>46051</v>
      </c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 t="s">
        <v>17</v>
      </c>
      <c r="C52" s="28" t="s">
        <v>168</v>
      </c>
      <c r="D52" s="28" t="s">
        <v>22</v>
      </c>
      <c r="E52" s="29">
        <v>24</v>
      </c>
      <c r="F52" s="30">
        <v>6</v>
      </c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30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198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149</v>
      </c>
      <c r="E59" s="14">
        <v>4</v>
      </c>
      <c r="F59" s="15">
        <v>38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194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193</v>
      </c>
      <c r="D63" s="28" t="s">
        <v>33</v>
      </c>
      <c r="E63" s="29">
        <v>1</v>
      </c>
      <c r="F63" s="30">
        <v>2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8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159</v>
      </c>
      <c r="D66" s="28" t="s">
        <v>22</v>
      </c>
      <c r="E66" s="29">
        <v>5</v>
      </c>
      <c r="F66" s="30">
        <v>18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6" t="s">
        <v>16</v>
      </c>
      <c r="C67" s="106" t="s">
        <v>172</v>
      </c>
      <c r="D67" s="106" t="s">
        <v>26</v>
      </c>
      <c r="E67" s="107">
        <v>29</v>
      </c>
      <c r="F67" s="108">
        <v>0</v>
      </c>
      <c r="G67" s="87" t="s">
        <v>285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408</v>
      </c>
      <c r="D68" s="28" t="s">
        <v>36</v>
      </c>
      <c r="E68" s="29" t="s">
        <v>284</v>
      </c>
      <c r="F68" s="30">
        <v>10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106" t="s">
        <v>17</v>
      </c>
      <c r="C69" s="106" t="s">
        <v>99</v>
      </c>
      <c r="D69" s="106" t="s">
        <v>20</v>
      </c>
      <c r="E69" s="107">
        <v>5</v>
      </c>
      <c r="F69" s="108">
        <v>8</v>
      </c>
      <c r="G69" s="87" t="s">
        <v>285</v>
      </c>
      <c r="H69" s="91">
        <v>46058</v>
      </c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221</v>
      </c>
      <c r="D70" s="28" t="s">
        <v>83</v>
      </c>
      <c r="E70" s="29" t="s">
        <v>284</v>
      </c>
      <c r="F70" s="30">
        <v>3</v>
      </c>
      <c r="G70" s="87">
        <v>46058</v>
      </c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106" t="s">
        <v>17</v>
      </c>
      <c r="C71" s="106" t="s">
        <v>59</v>
      </c>
      <c r="D71" s="106" t="s">
        <v>18</v>
      </c>
      <c r="E71" s="107">
        <v>7</v>
      </c>
      <c r="F71" s="108">
        <v>0</v>
      </c>
      <c r="G71" s="83" t="s">
        <v>285</v>
      </c>
      <c r="H71" s="91">
        <v>45897</v>
      </c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405</v>
      </c>
      <c r="D72" s="28" t="s">
        <v>87</v>
      </c>
      <c r="E72" s="29" t="s">
        <v>284</v>
      </c>
      <c r="F72" s="30">
        <v>8</v>
      </c>
      <c r="G72" s="87">
        <v>45897</v>
      </c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195</v>
      </c>
      <c r="D73" s="28" t="s">
        <v>160</v>
      </c>
      <c r="E73" s="29">
        <v>7</v>
      </c>
      <c r="F73" s="30">
        <v>6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106" t="s">
        <v>17</v>
      </c>
      <c r="C74" s="106" t="s">
        <v>196</v>
      </c>
      <c r="D74" s="106" t="s">
        <v>82</v>
      </c>
      <c r="E74" s="107">
        <v>1</v>
      </c>
      <c r="F74" s="108">
        <v>0</v>
      </c>
      <c r="G74" s="87" t="s">
        <v>285</v>
      </c>
      <c r="H74" s="91">
        <v>45890</v>
      </c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 t="s">
        <v>17</v>
      </c>
      <c r="C75" s="106" t="s">
        <v>292</v>
      </c>
      <c r="D75" s="106" t="s">
        <v>293</v>
      </c>
      <c r="E75" s="107" t="s">
        <v>284</v>
      </c>
      <c r="F75" s="108">
        <v>3</v>
      </c>
      <c r="G75" s="87">
        <v>45890</v>
      </c>
      <c r="H75" s="91">
        <v>46044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59</v>
      </c>
      <c r="D76" s="28" t="s">
        <v>18</v>
      </c>
      <c r="E76" s="29" t="s">
        <v>284</v>
      </c>
      <c r="F76" s="30">
        <v>3</v>
      </c>
      <c r="G76" s="87">
        <v>46044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 t="s">
        <v>17</v>
      </c>
      <c r="C77" s="106" t="s">
        <v>197</v>
      </c>
      <c r="D77" s="106" t="s">
        <v>100</v>
      </c>
      <c r="E77" s="107">
        <v>1</v>
      </c>
      <c r="F77" s="108">
        <v>1</v>
      </c>
      <c r="G77" s="87" t="s">
        <v>285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 t="s">
        <v>17</v>
      </c>
      <c r="C78" s="106" t="s">
        <v>458</v>
      </c>
      <c r="D78" s="106" t="s">
        <v>459</v>
      </c>
      <c r="E78" s="107" t="s">
        <v>284</v>
      </c>
      <c r="F78" s="108">
        <v>4</v>
      </c>
      <c r="G78" s="87">
        <v>45946</v>
      </c>
      <c r="H78" s="91">
        <v>46107</v>
      </c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 t="s">
        <v>17</v>
      </c>
      <c r="C79" s="28" t="s">
        <v>547</v>
      </c>
      <c r="D79" s="28" t="s">
        <v>58</v>
      </c>
      <c r="E79" s="29" t="s">
        <v>284</v>
      </c>
      <c r="F79" s="30">
        <v>0</v>
      </c>
      <c r="G79" s="87">
        <v>46107</v>
      </c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37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47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199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 t="s">
        <v>16</v>
      </c>
      <c r="C91" s="28" t="s">
        <v>200</v>
      </c>
      <c r="D91" s="28" t="s">
        <v>22</v>
      </c>
      <c r="E91" s="29">
        <v>1</v>
      </c>
      <c r="F91" s="30">
        <v>7</v>
      </c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106" t="s">
        <v>16</v>
      </c>
      <c r="C92" s="106" t="s">
        <v>65</v>
      </c>
      <c r="D92" s="106" t="s">
        <v>136</v>
      </c>
      <c r="E92" s="107">
        <v>1</v>
      </c>
      <c r="F92" s="108">
        <v>0</v>
      </c>
      <c r="G92" s="91" t="s">
        <v>285</v>
      </c>
      <c r="H92" s="91">
        <v>45876</v>
      </c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488</v>
      </c>
      <c r="D93" s="106" t="s">
        <v>24</v>
      </c>
      <c r="E93" s="107" t="s">
        <v>284</v>
      </c>
      <c r="F93" s="108">
        <v>2</v>
      </c>
      <c r="G93" s="91">
        <v>45876</v>
      </c>
      <c r="H93" s="91">
        <v>46065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526</v>
      </c>
      <c r="D94" s="28" t="s">
        <v>499</v>
      </c>
      <c r="E94" s="29" t="s">
        <v>284</v>
      </c>
      <c r="F94" s="30">
        <v>2</v>
      </c>
      <c r="G94" s="91">
        <v>46065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137</v>
      </c>
      <c r="D95" s="28" t="s">
        <v>18</v>
      </c>
      <c r="E95" s="29">
        <v>19</v>
      </c>
      <c r="F95" s="30">
        <v>9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 t="s">
        <v>17</v>
      </c>
      <c r="C96" s="28" t="s">
        <v>201</v>
      </c>
      <c r="D96" s="28" t="s">
        <v>33</v>
      </c>
      <c r="E96" s="29">
        <v>25</v>
      </c>
      <c r="F96" s="30">
        <v>17</v>
      </c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106" t="s">
        <v>17</v>
      </c>
      <c r="C97" s="106" t="s">
        <v>154</v>
      </c>
      <c r="D97" s="106" t="s">
        <v>153</v>
      </c>
      <c r="E97" s="107">
        <v>10</v>
      </c>
      <c r="F97" s="108">
        <v>3</v>
      </c>
      <c r="G97" s="83" t="s">
        <v>285</v>
      </c>
      <c r="H97" s="91">
        <v>45995</v>
      </c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106" t="s">
        <v>17</v>
      </c>
      <c r="C98" s="106" t="s">
        <v>484</v>
      </c>
      <c r="D98" s="106" t="s">
        <v>97</v>
      </c>
      <c r="E98" s="107" t="s">
        <v>284</v>
      </c>
      <c r="F98" s="108">
        <v>3</v>
      </c>
      <c r="G98" s="87">
        <v>45995</v>
      </c>
      <c r="H98" s="91">
        <v>46086</v>
      </c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536</v>
      </c>
      <c r="D99" s="28" t="s">
        <v>537</v>
      </c>
      <c r="E99" s="29" t="s">
        <v>284</v>
      </c>
      <c r="F99" s="30">
        <v>3</v>
      </c>
      <c r="G99" s="87">
        <v>46086</v>
      </c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6" t="s">
        <v>17</v>
      </c>
      <c r="C100" s="106" t="s">
        <v>60</v>
      </c>
      <c r="D100" s="106" t="s">
        <v>148</v>
      </c>
      <c r="E100" s="107">
        <v>6</v>
      </c>
      <c r="F100" s="108">
        <v>1</v>
      </c>
      <c r="G100" s="87" t="s">
        <v>285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443</v>
      </c>
      <c r="D101" s="28" t="s">
        <v>167</v>
      </c>
      <c r="E101" s="29" t="s">
        <v>284</v>
      </c>
      <c r="F101" s="30">
        <v>18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106" t="s">
        <v>17</v>
      </c>
      <c r="C102" s="106" t="s">
        <v>93</v>
      </c>
      <c r="D102" s="106" t="s">
        <v>80</v>
      </c>
      <c r="E102" s="107">
        <v>22</v>
      </c>
      <c r="F102" s="108">
        <v>5</v>
      </c>
      <c r="G102" s="87" t="s">
        <v>285</v>
      </c>
      <c r="H102" s="91">
        <v>46079</v>
      </c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546</v>
      </c>
      <c r="D103" s="28" t="s">
        <v>276</v>
      </c>
      <c r="E103" s="29" t="s">
        <v>284</v>
      </c>
      <c r="F103" s="30">
        <v>1</v>
      </c>
      <c r="G103" s="87">
        <v>46079</v>
      </c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 t="s">
        <v>17</v>
      </c>
      <c r="C104" s="106" t="s">
        <v>202</v>
      </c>
      <c r="D104" s="106" t="s">
        <v>73</v>
      </c>
      <c r="E104" s="107">
        <v>1</v>
      </c>
      <c r="F104" s="108">
        <v>0</v>
      </c>
      <c r="G104" s="87" t="s">
        <v>285</v>
      </c>
      <c r="H104" s="91">
        <v>45911</v>
      </c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 t="s">
        <v>17</v>
      </c>
      <c r="C105" s="106" t="s">
        <v>430</v>
      </c>
      <c r="D105" s="106" t="s">
        <v>82</v>
      </c>
      <c r="E105" s="107" t="s">
        <v>284</v>
      </c>
      <c r="F105" s="108">
        <v>6</v>
      </c>
      <c r="G105" s="87">
        <v>45911</v>
      </c>
      <c r="H105" s="91">
        <v>46002</v>
      </c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 t="s">
        <v>17</v>
      </c>
      <c r="C106" s="28" t="s">
        <v>492</v>
      </c>
      <c r="D106" s="28" t="s">
        <v>179</v>
      </c>
      <c r="E106" s="29" t="s">
        <v>284</v>
      </c>
      <c r="F106" s="30">
        <v>7</v>
      </c>
      <c r="G106" s="87">
        <v>46002</v>
      </c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38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203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204</v>
      </c>
      <c r="E113" s="14">
        <v>1</v>
      </c>
      <c r="F113" s="15">
        <v>49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205</v>
      </c>
      <c r="D116" s="28" t="s">
        <v>206</v>
      </c>
      <c r="E116" s="29">
        <v>1</v>
      </c>
      <c r="F116" s="30">
        <v>2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207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106" t="s">
        <v>16</v>
      </c>
      <c r="C118" s="106" t="s">
        <v>208</v>
      </c>
      <c r="D118" s="106" t="s">
        <v>82</v>
      </c>
      <c r="E118" s="107">
        <v>19</v>
      </c>
      <c r="F118" s="108">
        <v>15</v>
      </c>
      <c r="G118" s="87" t="s">
        <v>285</v>
      </c>
      <c r="H118" s="91">
        <v>46079</v>
      </c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549</v>
      </c>
      <c r="D119" s="28" t="s">
        <v>404</v>
      </c>
      <c r="E119" s="29" t="s">
        <v>284</v>
      </c>
      <c r="F119" s="30">
        <v>2</v>
      </c>
      <c r="G119" s="87">
        <v>46079</v>
      </c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115</v>
      </c>
      <c r="D120" s="28" t="s">
        <v>33</v>
      </c>
      <c r="E120" s="29">
        <v>20</v>
      </c>
      <c r="F120" s="30">
        <v>8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178</v>
      </c>
      <c r="D121" s="106" t="s">
        <v>177</v>
      </c>
      <c r="E121" s="107">
        <v>1</v>
      </c>
      <c r="F121" s="108">
        <v>1</v>
      </c>
      <c r="G121" s="86" t="s">
        <v>285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481</v>
      </c>
      <c r="D122" s="28" t="s">
        <v>97</v>
      </c>
      <c r="E122" s="29" t="s">
        <v>284</v>
      </c>
      <c r="F122" s="30">
        <v>4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 t="s">
        <v>17</v>
      </c>
      <c r="C123" s="28" t="s">
        <v>161</v>
      </c>
      <c r="D123" s="28" t="s">
        <v>36</v>
      </c>
      <c r="E123" s="29">
        <v>24</v>
      </c>
      <c r="F123" s="30">
        <v>3</v>
      </c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106" t="s">
        <v>17</v>
      </c>
      <c r="C124" s="106" t="s">
        <v>166</v>
      </c>
      <c r="D124" s="106" t="s">
        <v>167</v>
      </c>
      <c r="E124" s="107">
        <v>10</v>
      </c>
      <c r="F124" s="108">
        <v>1</v>
      </c>
      <c r="G124" s="83" t="s">
        <v>285</v>
      </c>
      <c r="H124" s="91">
        <v>45890</v>
      </c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403</v>
      </c>
      <c r="D125" s="106" t="s">
        <v>404</v>
      </c>
      <c r="E125" s="107" t="s">
        <v>284</v>
      </c>
      <c r="F125" s="108">
        <v>2</v>
      </c>
      <c r="G125" s="87">
        <v>45890</v>
      </c>
      <c r="H125" s="91">
        <v>45967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6" t="s">
        <v>17</v>
      </c>
      <c r="C126" s="106" t="s">
        <v>475</v>
      </c>
      <c r="D126" s="106" t="s">
        <v>206</v>
      </c>
      <c r="E126" s="107" t="s">
        <v>284</v>
      </c>
      <c r="F126" s="108">
        <v>4</v>
      </c>
      <c r="G126" s="87">
        <v>45967</v>
      </c>
      <c r="H126" s="91">
        <v>46023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28" t="s">
        <v>17</v>
      </c>
      <c r="C127" s="28" t="s">
        <v>498</v>
      </c>
      <c r="D127" s="28" t="s">
        <v>499</v>
      </c>
      <c r="E127" s="29" t="s">
        <v>284</v>
      </c>
      <c r="F127" s="30">
        <v>6</v>
      </c>
      <c r="G127" s="87">
        <v>46023</v>
      </c>
      <c r="H127" s="91"/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106" t="s">
        <v>17</v>
      </c>
      <c r="C128" s="106" t="s">
        <v>209</v>
      </c>
      <c r="D128" s="106" t="s">
        <v>128</v>
      </c>
      <c r="E128" s="107">
        <v>19</v>
      </c>
      <c r="F128" s="108">
        <v>2</v>
      </c>
      <c r="G128" s="87" t="s">
        <v>285</v>
      </c>
      <c r="H128" s="91">
        <v>45890</v>
      </c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6" t="s">
        <v>17</v>
      </c>
      <c r="C129" s="106" t="s">
        <v>400</v>
      </c>
      <c r="D129" s="106" t="s">
        <v>69</v>
      </c>
      <c r="E129" s="107" t="s">
        <v>284</v>
      </c>
      <c r="F129" s="108">
        <v>3</v>
      </c>
      <c r="G129" s="87">
        <v>45890</v>
      </c>
      <c r="H129" s="91">
        <v>46058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424</v>
      </c>
      <c r="D130" s="28" t="s">
        <v>89</v>
      </c>
      <c r="E130" s="29" t="s">
        <v>284</v>
      </c>
      <c r="F130" s="30">
        <v>2</v>
      </c>
      <c r="G130" s="87">
        <v>46058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109</v>
      </c>
      <c r="D131" s="28" t="s">
        <v>97</v>
      </c>
      <c r="E131" s="29">
        <v>1</v>
      </c>
      <c r="F131" s="30">
        <v>17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 t="s">
        <v>17</v>
      </c>
      <c r="C132" s="106" t="s">
        <v>210</v>
      </c>
      <c r="D132" s="106" t="s">
        <v>20</v>
      </c>
      <c r="E132" s="107">
        <v>1</v>
      </c>
      <c r="F132" s="108">
        <v>1</v>
      </c>
      <c r="G132" s="87" t="s">
        <v>285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453</v>
      </c>
      <c r="D133" s="28" t="s">
        <v>454</v>
      </c>
      <c r="E133" s="29" t="s">
        <v>284</v>
      </c>
      <c r="F133" s="30">
        <v>7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31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0" t="s">
        <v>13</v>
      </c>
      <c r="C140" s="111"/>
      <c r="D140" s="110" t="s">
        <v>94</v>
      </c>
      <c r="E140" s="112">
        <v>1</v>
      </c>
      <c r="F140" s="113">
        <v>9</v>
      </c>
      <c r="G140" s="80" t="s">
        <v>285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5" t="s">
        <v>13</v>
      </c>
      <c r="C141" s="115"/>
      <c r="D141" s="115" t="s">
        <v>428</v>
      </c>
      <c r="E141" s="116" t="s">
        <v>284</v>
      </c>
      <c r="F141" s="115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293</v>
      </c>
      <c r="E142" s="22" t="s">
        <v>284</v>
      </c>
      <c r="F142" s="21">
        <v>37</v>
      </c>
      <c r="G142" s="86">
        <v>45974</v>
      </c>
      <c r="H142" s="92"/>
      <c r="I142" s="118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124</v>
      </c>
      <c r="D143" s="28" t="s">
        <v>181</v>
      </c>
      <c r="E143" s="29">
        <v>3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211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 t="s">
        <v>16</v>
      </c>
      <c r="C145" s="28" t="s">
        <v>212</v>
      </c>
      <c r="D145" s="28" t="s">
        <v>33</v>
      </c>
      <c r="E145" s="29">
        <v>42</v>
      </c>
      <c r="F145" s="30">
        <v>10</v>
      </c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91</v>
      </c>
      <c r="D146" s="28" t="s">
        <v>22</v>
      </c>
      <c r="E146" s="29">
        <v>1</v>
      </c>
      <c r="F146" s="30">
        <v>10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106" t="s">
        <v>16</v>
      </c>
      <c r="C147" s="106" t="s">
        <v>101</v>
      </c>
      <c r="D147" s="106" t="s">
        <v>69</v>
      </c>
      <c r="E147" s="107">
        <v>1</v>
      </c>
      <c r="F147" s="108">
        <v>2</v>
      </c>
      <c r="G147" s="87" t="s">
        <v>285</v>
      </c>
      <c r="H147" s="91">
        <v>45974</v>
      </c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476</v>
      </c>
      <c r="D148" s="28" t="s">
        <v>454</v>
      </c>
      <c r="E148" s="29" t="s">
        <v>284</v>
      </c>
      <c r="F148" s="30">
        <v>6</v>
      </c>
      <c r="G148" s="87">
        <v>45974</v>
      </c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106" t="s">
        <v>17</v>
      </c>
      <c r="C149" s="106" t="s">
        <v>150</v>
      </c>
      <c r="D149" s="106" t="s">
        <v>68</v>
      </c>
      <c r="E149" s="107">
        <v>1</v>
      </c>
      <c r="F149" s="108">
        <v>5</v>
      </c>
      <c r="G149" s="87" t="s">
        <v>285</v>
      </c>
      <c r="H149" s="91">
        <v>46030</v>
      </c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17</v>
      </c>
      <c r="C150" s="28" t="s">
        <v>505</v>
      </c>
      <c r="D150" s="28" t="s">
        <v>84</v>
      </c>
      <c r="E150" s="29" t="s">
        <v>284</v>
      </c>
      <c r="F150" s="30">
        <v>5</v>
      </c>
      <c r="G150" s="87">
        <v>46030</v>
      </c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106" t="s">
        <v>17</v>
      </c>
      <c r="C151" s="106" t="s">
        <v>213</v>
      </c>
      <c r="D151" s="106" t="s">
        <v>83</v>
      </c>
      <c r="E151" s="107">
        <v>18</v>
      </c>
      <c r="F151" s="108">
        <v>10</v>
      </c>
      <c r="G151" s="83" t="s">
        <v>285</v>
      </c>
      <c r="H151" s="91">
        <v>46072</v>
      </c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533</v>
      </c>
      <c r="D152" s="28" t="s">
        <v>425</v>
      </c>
      <c r="E152" s="29" t="s">
        <v>284</v>
      </c>
      <c r="F152" s="30">
        <v>6</v>
      </c>
      <c r="G152" s="87">
        <v>46072</v>
      </c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106" t="s">
        <v>17</v>
      </c>
      <c r="C153" s="106" t="s">
        <v>214</v>
      </c>
      <c r="D153" s="106" t="s">
        <v>19</v>
      </c>
      <c r="E153" s="107">
        <v>3</v>
      </c>
      <c r="F153" s="108">
        <v>0</v>
      </c>
      <c r="G153" s="87" t="s">
        <v>285</v>
      </c>
      <c r="H153" s="91">
        <v>45911</v>
      </c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6" t="s">
        <v>17</v>
      </c>
      <c r="C154" s="106" t="s">
        <v>478</v>
      </c>
      <c r="D154" s="106" t="s">
        <v>138</v>
      </c>
      <c r="E154" s="107" t="s">
        <v>284</v>
      </c>
      <c r="F154" s="108">
        <v>2</v>
      </c>
      <c r="G154" s="87">
        <v>45911</v>
      </c>
      <c r="H154" s="91">
        <v>45995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486</v>
      </c>
      <c r="D155" s="106" t="s">
        <v>515</v>
      </c>
      <c r="E155" s="107" t="s">
        <v>284</v>
      </c>
      <c r="F155" s="108">
        <v>0</v>
      </c>
      <c r="G155" s="87">
        <v>45995</v>
      </c>
      <c r="H155" s="91">
        <v>46044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517</v>
      </c>
      <c r="D156" s="28" t="s">
        <v>518</v>
      </c>
      <c r="E156" s="29" t="s">
        <v>284</v>
      </c>
      <c r="F156" s="30">
        <v>1</v>
      </c>
      <c r="G156" s="87">
        <v>46044</v>
      </c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116</v>
      </c>
      <c r="D157" s="28" t="s">
        <v>19</v>
      </c>
      <c r="E157" s="29">
        <v>25</v>
      </c>
      <c r="F157" s="30">
        <v>19</v>
      </c>
      <c r="G157" s="87"/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 t="s">
        <v>17</v>
      </c>
      <c r="C158" s="106" t="s">
        <v>131</v>
      </c>
      <c r="D158" s="106" t="s">
        <v>103</v>
      </c>
      <c r="E158" s="107">
        <v>4</v>
      </c>
      <c r="F158" s="108">
        <v>11</v>
      </c>
      <c r="G158" s="87" t="s">
        <v>285</v>
      </c>
      <c r="H158" s="91">
        <v>46065</v>
      </c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 t="s">
        <v>17</v>
      </c>
      <c r="C159" s="106" t="s">
        <v>527</v>
      </c>
      <c r="D159" s="106" t="s">
        <v>20</v>
      </c>
      <c r="E159" s="107" t="s">
        <v>284</v>
      </c>
      <c r="F159" s="108">
        <v>1</v>
      </c>
      <c r="G159" s="87">
        <v>46065</v>
      </c>
      <c r="H159" s="91">
        <v>46086</v>
      </c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 t="s">
        <v>17</v>
      </c>
      <c r="C160" s="28" t="s">
        <v>150</v>
      </c>
      <c r="D160" s="28" t="s">
        <v>30</v>
      </c>
      <c r="E160" s="29" t="s">
        <v>284</v>
      </c>
      <c r="F160" s="30">
        <v>0</v>
      </c>
      <c r="G160" s="87">
        <v>46086</v>
      </c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34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0" t="s">
        <v>13</v>
      </c>
      <c r="C167" s="111"/>
      <c r="D167" s="110" t="s">
        <v>132</v>
      </c>
      <c r="E167" s="112">
        <v>1</v>
      </c>
      <c r="F167" s="113">
        <v>14</v>
      </c>
      <c r="G167" s="80" t="s">
        <v>285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284</v>
      </c>
      <c r="F168" s="21">
        <v>35</v>
      </c>
      <c r="G168" s="86">
        <v>46318</v>
      </c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126</v>
      </c>
      <c r="D170" s="28" t="s">
        <v>22</v>
      </c>
      <c r="E170" s="29">
        <v>5</v>
      </c>
      <c r="F170" s="30">
        <v>2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1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164</v>
      </c>
      <c r="D173" s="28" t="s">
        <v>132</v>
      </c>
      <c r="E173" s="29">
        <v>3</v>
      </c>
      <c r="F173" s="30">
        <v>11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6" t="s">
        <v>16</v>
      </c>
      <c r="C174" s="106" t="s">
        <v>107</v>
      </c>
      <c r="D174" s="106" t="s">
        <v>74</v>
      </c>
      <c r="E174" s="107">
        <v>1</v>
      </c>
      <c r="F174" s="108">
        <v>0</v>
      </c>
      <c r="G174" s="91" t="s">
        <v>285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6" t="s">
        <v>16</v>
      </c>
      <c r="C175" s="106" t="s">
        <v>409</v>
      </c>
      <c r="D175" s="106" t="s">
        <v>97</v>
      </c>
      <c r="E175" s="107" t="s">
        <v>284</v>
      </c>
      <c r="F175" s="108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469</v>
      </c>
      <c r="D176" s="28" t="s">
        <v>470</v>
      </c>
      <c r="E176" s="29" t="s">
        <v>284</v>
      </c>
      <c r="F176" s="30">
        <v>4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129</v>
      </c>
      <c r="D177" s="28" t="s">
        <v>80</v>
      </c>
      <c r="E177" s="29">
        <v>1</v>
      </c>
      <c r="F177" s="30">
        <v>10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106" t="s">
        <v>17</v>
      </c>
      <c r="C178" s="106" t="s">
        <v>96</v>
      </c>
      <c r="D178" s="106" t="s">
        <v>33</v>
      </c>
      <c r="E178" s="107">
        <v>56</v>
      </c>
      <c r="F178" s="108">
        <v>3</v>
      </c>
      <c r="G178" s="91" t="s">
        <v>285</v>
      </c>
      <c r="H178" s="91">
        <v>46023</v>
      </c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106" t="s">
        <v>17</v>
      </c>
      <c r="C179" s="106" t="s">
        <v>176</v>
      </c>
      <c r="D179" s="106" t="s">
        <v>122</v>
      </c>
      <c r="E179" s="107">
        <v>1</v>
      </c>
      <c r="F179" s="108">
        <v>1</v>
      </c>
      <c r="G179" s="83" t="s">
        <v>285</v>
      </c>
      <c r="H179" s="91">
        <v>46023</v>
      </c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500</v>
      </c>
      <c r="D180" s="28" t="s">
        <v>20</v>
      </c>
      <c r="E180" s="29" t="s">
        <v>284</v>
      </c>
      <c r="F180" s="30">
        <v>4</v>
      </c>
      <c r="G180" s="91">
        <v>46023</v>
      </c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501</v>
      </c>
      <c r="D181" s="28" t="s">
        <v>148</v>
      </c>
      <c r="E181" s="29" t="s">
        <v>284</v>
      </c>
      <c r="F181" s="30">
        <v>5</v>
      </c>
      <c r="G181" s="91">
        <v>46023</v>
      </c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125</v>
      </c>
      <c r="D182" s="28" t="s">
        <v>64</v>
      </c>
      <c r="E182" s="29">
        <v>7</v>
      </c>
      <c r="F182" s="30">
        <v>9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 t="s">
        <v>17</v>
      </c>
      <c r="C183" s="106" t="s">
        <v>216</v>
      </c>
      <c r="D183" s="106" t="s">
        <v>28</v>
      </c>
      <c r="E183" s="107">
        <v>1</v>
      </c>
      <c r="F183" s="108">
        <v>0</v>
      </c>
      <c r="G183" s="87" t="s">
        <v>285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473</v>
      </c>
      <c r="D184" s="28" t="s">
        <v>446</v>
      </c>
      <c r="E184" s="29" t="s">
        <v>284</v>
      </c>
      <c r="F184" s="30">
        <v>5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 t="s">
        <v>17</v>
      </c>
      <c r="C185" s="106" t="s">
        <v>146</v>
      </c>
      <c r="D185" s="106" t="s">
        <v>217</v>
      </c>
      <c r="E185" s="107">
        <v>1</v>
      </c>
      <c r="F185" s="108">
        <v>0</v>
      </c>
      <c r="G185" s="83" t="s">
        <v>285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 t="s">
        <v>17</v>
      </c>
      <c r="C186" s="106" t="s">
        <v>283</v>
      </c>
      <c r="D186" s="106" t="s">
        <v>132</v>
      </c>
      <c r="E186" s="107" t="s">
        <v>284</v>
      </c>
      <c r="F186" s="108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471</v>
      </c>
      <c r="D187" s="28" t="s">
        <v>472</v>
      </c>
      <c r="E187" s="29" t="s">
        <v>284</v>
      </c>
      <c r="F187" s="30">
        <v>5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11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47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268</v>
      </c>
      <c r="D197" s="28" t="s">
        <v>18</v>
      </c>
      <c r="E197" s="29">
        <v>1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482</v>
      </c>
      <c r="D198" s="28" t="s">
        <v>22</v>
      </c>
      <c r="E198" s="29">
        <v>1</v>
      </c>
      <c r="F198" s="30">
        <v>2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269</v>
      </c>
      <c r="D200" s="28" t="s">
        <v>153</v>
      </c>
      <c r="E200" s="29">
        <v>1</v>
      </c>
      <c r="F200" s="30">
        <v>12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270</v>
      </c>
      <c r="D201" s="28" t="s">
        <v>18</v>
      </c>
      <c r="E201" s="29">
        <v>1</v>
      </c>
      <c r="F201" s="30">
        <v>5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271</v>
      </c>
      <c r="D202" s="28" t="s">
        <v>22</v>
      </c>
      <c r="E202" s="29">
        <v>1</v>
      </c>
      <c r="F202" s="30">
        <v>3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272</v>
      </c>
      <c r="D206" s="28" t="s">
        <v>87</v>
      </c>
      <c r="E206" s="29">
        <v>1</v>
      </c>
      <c r="F206" s="30">
        <v>12</v>
      </c>
      <c r="G206" s="87"/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273</v>
      </c>
      <c r="D207" s="28" t="s">
        <v>122</v>
      </c>
      <c r="E207" s="29">
        <v>1</v>
      </c>
      <c r="F207" s="30">
        <v>3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277</v>
      </c>
      <c r="D208" s="28" t="s">
        <v>90</v>
      </c>
      <c r="E208" s="29">
        <v>1</v>
      </c>
      <c r="F208" s="30">
        <v>1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274</v>
      </c>
      <c r="D209" s="28" t="s">
        <v>192</v>
      </c>
      <c r="E209" s="29">
        <v>1</v>
      </c>
      <c r="F209" s="30">
        <v>10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275</v>
      </c>
      <c r="D210" s="28" t="s">
        <v>544</v>
      </c>
      <c r="E210" s="29">
        <v>1</v>
      </c>
      <c r="F210" s="30">
        <v>8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10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267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0" t="s">
        <v>13</v>
      </c>
      <c r="C221" s="111"/>
      <c r="D221" s="110" t="s">
        <v>30</v>
      </c>
      <c r="E221" s="112">
        <v>1</v>
      </c>
      <c r="F221" s="113">
        <v>6</v>
      </c>
      <c r="G221" s="80" t="s">
        <v>285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115" t="s">
        <v>13</v>
      </c>
      <c r="C222" s="115"/>
      <c r="D222" s="115" t="s">
        <v>120</v>
      </c>
      <c r="E222" s="116" t="s">
        <v>284</v>
      </c>
      <c r="F222" s="115">
        <v>27</v>
      </c>
      <c r="G222" s="94">
        <v>45890</v>
      </c>
      <c r="H222" s="94">
        <v>46016</v>
      </c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 t="s">
        <v>13</v>
      </c>
      <c r="C223" s="21"/>
      <c r="D223" s="21" t="s">
        <v>179</v>
      </c>
      <c r="E223" s="22" t="s">
        <v>284</v>
      </c>
      <c r="F223" s="21">
        <v>32</v>
      </c>
      <c r="G223" s="86">
        <v>46016</v>
      </c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218</v>
      </c>
      <c r="D224" s="28" t="s">
        <v>19</v>
      </c>
      <c r="E224" s="29">
        <v>2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219</v>
      </c>
      <c r="D225" s="28" t="s">
        <v>18</v>
      </c>
      <c r="E225" s="29">
        <v>5</v>
      </c>
      <c r="F225" s="30">
        <v>4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6" t="s">
        <v>16</v>
      </c>
      <c r="C227" s="106" t="s">
        <v>81</v>
      </c>
      <c r="D227" s="106" t="s">
        <v>444</v>
      </c>
      <c r="E227" s="107">
        <v>1</v>
      </c>
      <c r="F227" s="108">
        <v>0</v>
      </c>
      <c r="G227" s="83" t="s">
        <v>285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480</v>
      </c>
      <c r="D228" s="28" t="s">
        <v>97</v>
      </c>
      <c r="E228" s="29" t="s">
        <v>284</v>
      </c>
      <c r="F228" s="30">
        <v>4</v>
      </c>
      <c r="G228" s="87">
        <v>45918</v>
      </c>
      <c r="H228" s="91"/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113</v>
      </c>
      <c r="D229" s="28" t="s">
        <v>104</v>
      </c>
      <c r="E229" s="29">
        <v>5</v>
      </c>
      <c r="F229" s="30">
        <v>8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175</v>
      </c>
      <c r="D230" s="106" t="s">
        <v>278</v>
      </c>
      <c r="E230" s="107">
        <v>4</v>
      </c>
      <c r="F230" s="108">
        <v>0</v>
      </c>
      <c r="G230" s="87" t="s">
        <v>285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6" t="s">
        <v>16</v>
      </c>
      <c r="C231" s="106" t="s">
        <v>287</v>
      </c>
      <c r="D231" s="106" t="s">
        <v>288</v>
      </c>
      <c r="E231" s="107" t="s">
        <v>284</v>
      </c>
      <c r="F231" s="108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106" t="s">
        <v>16</v>
      </c>
      <c r="C232" s="106" t="s">
        <v>477</v>
      </c>
      <c r="D232" s="106" t="s">
        <v>85</v>
      </c>
      <c r="E232" s="107" t="s">
        <v>284</v>
      </c>
      <c r="F232" s="108">
        <v>0</v>
      </c>
      <c r="G232" s="87">
        <v>45974</v>
      </c>
      <c r="H232" s="91">
        <v>46093</v>
      </c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16</v>
      </c>
      <c r="C233" s="28" t="s">
        <v>541</v>
      </c>
      <c r="D233" s="28" t="s">
        <v>118</v>
      </c>
      <c r="E233" s="29" t="s">
        <v>284</v>
      </c>
      <c r="F233" s="30">
        <v>1</v>
      </c>
      <c r="G233" s="87">
        <v>46093</v>
      </c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220</v>
      </c>
      <c r="D234" s="28" t="s">
        <v>18</v>
      </c>
      <c r="E234" s="29">
        <v>36</v>
      </c>
      <c r="F234" s="30">
        <v>17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147</v>
      </c>
      <c r="D235" s="28" t="s">
        <v>138</v>
      </c>
      <c r="E235" s="29">
        <v>20</v>
      </c>
      <c r="F235" s="30">
        <v>16</v>
      </c>
      <c r="G235" s="87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152</v>
      </c>
      <c r="D236" s="28" t="s">
        <v>241</v>
      </c>
      <c r="E236" s="29">
        <v>8</v>
      </c>
      <c r="F236" s="30">
        <v>10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6" t="s">
        <v>17</v>
      </c>
      <c r="C237" s="106" t="s">
        <v>221</v>
      </c>
      <c r="D237" s="106" t="s">
        <v>103</v>
      </c>
      <c r="E237" s="107">
        <v>15</v>
      </c>
      <c r="F237" s="108">
        <v>3</v>
      </c>
      <c r="G237" s="87" t="s">
        <v>285</v>
      </c>
      <c r="H237" s="91">
        <v>46016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496</v>
      </c>
      <c r="D238" s="28" t="s">
        <v>95</v>
      </c>
      <c r="E238" s="29" t="s">
        <v>284</v>
      </c>
      <c r="F238" s="30">
        <v>8</v>
      </c>
      <c r="G238" s="87">
        <v>46016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 t="s">
        <v>17</v>
      </c>
      <c r="C239" s="106" t="s">
        <v>266</v>
      </c>
      <c r="D239" s="106" t="s">
        <v>158</v>
      </c>
      <c r="E239" s="107">
        <v>1</v>
      </c>
      <c r="F239" s="108">
        <v>0</v>
      </c>
      <c r="G239" s="87" t="s">
        <v>285</v>
      </c>
      <c r="H239" s="91">
        <v>45911</v>
      </c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 t="s">
        <v>17</v>
      </c>
      <c r="C240" s="28" t="s">
        <v>426</v>
      </c>
      <c r="D240" s="28" t="s">
        <v>68</v>
      </c>
      <c r="E240" s="29" t="s">
        <v>284</v>
      </c>
      <c r="F240" s="30">
        <v>16</v>
      </c>
      <c r="G240" s="87">
        <v>45911</v>
      </c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24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222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0" t="s">
        <v>13</v>
      </c>
      <c r="C248" s="111"/>
      <c r="D248" s="110" t="s">
        <v>84</v>
      </c>
      <c r="E248" s="112">
        <v>8</v>
      </c>
      <c r="F248" s="113">
        <v>14</v>
      </c>
      <c r="G248" s="80" t="s">
        <v>285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115" t="s">
        <v>13</v>
      </c>
      <c r="C249" s="115"/>
      <c r="D249" s="115" t="s">
        <v>24</v>
      </c>
      <c r="E249" s="116" t="s">
        <v>284</v>
      </c>
      <c r="F249" s="115">
        <v>37</v>
      </c>
      <c r="G249" s="86">
        <v>45918</v>
      </c>
      <c r="H249" s="94">
        <v>46037</v>
      </c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 t="s">
        <v>13</v>
      </c>
      <c r="C250" s="21"/>
      <c r="D250" s="21" t="s">
        <v>506</v>
      </c>
      <c r="E250" s="22" t="s">
        <v>284</v>
      </c>
      <c r="F250" s="21">
        <v>12</v>
      </c>
      <c r="G250" s="86">
        <v>46037</v>
      </c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223</v>
      </c>
      <c r="D251" s="28" t="s">
        <v>153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171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 t="s">
        <v>16</v>
      </c>
      <c r="C253" s="28" t="s">
        <v>157</v>
      </c>
      <c r="D253" s="28" t="s">
        <v>215</v>
      </c>
      <c r="E253" s="29">
        <v>1</v>
      </c>
      <c r="F253" s="30">
        <v>10</v>
      </c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106" t="s">
        <v>16</v>
      </c>
      <c r="C254" s="106" t="s">
        <v>130</v>
      </c>
      <c r="D254" s="106" t="s">
        <v>24</v>
      </c>
      <c r="E254" s="107">
        <v>2</v>
      </c>
      <c r="F254" s="108">
        <v>0</v>
      </c>
      <c r="G254" s="91" t="s">
        <v>285</v>
      </c>
      <c r="H254" s="91">
        <v>45890</v>
      </c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6" t="s">
        <v>16</v>
      </c>
      <c r="C255" s="106" t="s">
        <v>294</v>
      </c>
      <c r="D255" s="106" t="s">
        <v>288</v>
      </c>
      <c r="E255" s="107" t="s">
        <v>284</v>
      </c>
      <c r="F255" s="108">
        <v>2</v>
      </c>
      <c r="G255" s="87">
        <v>45890</v>
      </c>
      <c r="H255" s="91">
        <v>46030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502</v>
      </c>
      <c r="D256" s="28" t="s">
        <v>503</v>
      </c>
      <c r="E256" s="29" t="s">
        <v>284</v>
      </c>
      <c r="F256" s="30">
        <v>2</v>
      </c>
      <c r="G256" s="87">
        <v>46030</v>
      </c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224</v>
      </c>
      <c r="D257" s="28" t="s">
        <v>22</v>
      </c>
      <c r="E257" s="29">
        <v>3</v>
      </c>
      <c r="F257" s="30">
        <v>9</v>
      </c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106" t="s">
        <v>17</v>
      </c>
      <c r="C258" s="106" t="s">
        <v>225</v>
      </c>
      <c r="D258" s="106" t="s">
        <v>118</v>
      </c>
      <c r="E258" s="107">
        <v>20</v>
      </c>
      <c r="F258" s="108">
        <v>3</v>
      </c>
      <c r="G258" s="83" t="s">
        <v>285</v>
      </c>
      <c r="H258" s="91">
        <v>46107</v>
      </c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286</v>
      </c>
      <c r="D259" s="28" t="s">
        <v>548</v>
      </c>
      <c r="E259" s="29" t="s">
        <v>284</v>
      </c>
      <c r="F259" s="30">
        <v>0</v>
      </c>
      <c r="G259" s="87">
        <v>46107</v>
      </c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75</v>
      </c>
      <c r="D260" s="28" t="s">
        <v>26</v>
      </c>
      <c r="E260" s="29">
        <v>18</v>
      </c>
      <c r="F260" s="30">
        <v>10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106" t="s">
        <v>17</v>
      </c>
      <c r="C261" s="106" t="s">
        <v>106</v>
      </c>
      <c r="D261" s="106" t="s">
        <v>24</v>
      </c>
      <c r="E261" s="107">
        <v>16</v>
      </c>
      <c r="F261" s="108">
        <v>0</v>
      </c>
      <c r="G261" s="87" t="s">
        <v>285</v>
      </c>
      <c r="H261" s="91">
        <v>45946</v>
      </c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460</v>
      </c>
      <c r="D262" s="28" t="s">
        <v>170</v>
      </c>
      <c r="E262" s="29" t="s">
        <v>284</v>
      </c>
      <c r="F262" s="30">
        <v>15</v>
      </c>
      <c r="G262" s="87">
        <v>45946</v>
      </c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106" t="s">
        <v>17</v>
      </c>
      <c r="C263" s="106" t="s">
        <v>139</v>
      </c>
      <c r="D263" s="106" t="s">
        <v>84</v>
      </c>
      <c r="E263" s="107">
        <v>14</v>
      </c>
      <c r="F263" s="108">
        <v>0</v>
      </c>
      <c r="G263" s="87" t="s">
        <v>285</v>
      </c>
      <c r="H263" s="91">
        <v>45953</v>
      </c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28" t="s">
        <v>17</v>
      </c>
      <c r="C264" s="28" t="s">
        <v>474</v>
      </c>
      <c r="D264" s="28" t="s">
        <v>23</v>
      </c>
      <c r="E264" s="29" t="s">
        <v>284</v>
      </c>
      <c r="F264" s="30">
        <v>16</v>
      </c>
      <c r="G264" s="87">
        <v>45953</v>
      </c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106" t="s">
        <v>17</v>
      </c>
      <c r="C265" s="106" t="s">
        <v>141</v>
      </c>
      <c r="D265" s="106" t="s">
        <v>288</v>
      </c>
      <c r="E265" s="107">
        <v>14</v>
      </c>
      <c r="F265" s="108">
        <v>0</v>
      </c>
      <c r="G265" s="83" t="s">
        <v>285</v>
      </c>
      <c r="H265" s="91">
        <v>45897</v>
      </c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 t="s">
        <v>17</v>
      </c>
      <c r="C266" s="106" t="s">
        <v>406</v>
      </c>
      <c r="D266" s="106" t="s">
        <v>73</v>
      </c>
      <c r="E266" s="107" t="s">
        <v>284</v>
      </c>
      <c r="F266" s="108">
        <v>7</v>
      </c>
      <c r="G266" s="87">
        <v>45897</v>
      </c>
      <c r="H266" s="91">
        <v>46002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 t="s">
        <v>17</v>
      </c>
      <c r="C267" s="106" t="s">
        <v>493</v>
      </c>
      <c r="D267" s="106" t="s">
        <v>80</v>
      </c>
      <c r="E267" s="107" t="s">
        <v>284</v>
      </c>
      <c r="F267" s="108">
        <v>0</v>
      </c>
      <c r="G267" s="87">
        <v>46002</v>
      </c>
      <c r="H267" s="91">
        <v>46107</v>
      </c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 t="s">
        <v>17</v>
      </c>
      <c r="C268" s="28" t="s">
        <v>242</v>
      </c>
      <c r="D268" s="28" t="s">
        <v>206</v>
      </c>
      <c r="E268" s="29" t="s">
        <v>284</v>
      </c>
      <c r="F268" s="30">
        <v>1</v>
      </c>
      <c r="G268" s="87">
        <v>46107</v>
      </c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13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140</v>
      </c>
      <c r="D272" s="1" t="s">
        <v>117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0" t="s">
        <v>13</v>
      </c>
      <c r="C275" s="111"/>
      <c r="D275" s="110" t="s">
        <v>33</v>
      </c>
      <c r="E275" s="112">
        <v>1</v>
      </c>
      <c r="F275" s="113">
        <v>27</v>
      </c>
      <c r="G275" s="80" t="s">
        <v>285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284</v>
      </c>
      <c r="F276" s="21">
        <v>27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226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227</v>
      </c>
      <c r="D279" s="28" t="s">
        <v>181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228</v>
      </c>
      <c r="D281" s="28" t="s">
        <v>70</v>
      </c>
      <c r="E281" s="29">
        <v>25</v>
      </c>
      <c r="F281" s="30">
        <v>10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229</v>
      </c>
      <c r="D282" s="28" t="s">
        <v>33</v>
      </c>
      <c r="E282" s="29">
        <v>40</v>
      </c>
      <c r="F282" s="30">
        <v>6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6" t="s">
        <v>16</v>
      </c>
      <c r="C283" s="106" t="s">
        <v>231</v>
      </c>
      <c r="D283" s="106" t="s">
        <v>230</v>
      </c>
      <c r="E283" s="107">
        <v>1</v>
      </c>
      <c r="F283" s="108">
        <v>0</v>
      </c>
      <c r="G283" s="87" t="s">
        <v>285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289</v>
      </c>
      <c r="D284" s="28" t="s">
        <v>84</v>
      </c>
      <c r="E284" s="29" t="s">
        <v>284</v>
      </c>
      <c r="F284" s="30">
        <v>5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143</v>
      </c>
      <c r="D287" s="28" t="s">
        <v>89</v>
      </c>
      <c r="E287" s="29">
        <v>12</v>
      </c>
      <c r="F287" s="30">
        <v>15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155</v>
      </c>
      <c r="D288" s="28" t="s">
        <v>156</v>
      </c>
      <c r="E288" s="29">
        <v>1</v>
      </c>
      <c r="F288" s="30">
        <v>9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6" t="s">
        <v>17</v>
      </c>
      <c r="C289" s="106" t="s">
        <v>232</v>
      </c>
      <c r="D289" s="106" t="s">
        <v>136</v>
      </c>
      <c r="E289" s="107">
        <v>4</v>
      </c>
      <c r="F289" s="108">
        <v>0</v>
      </c>
      <c r="G289" s="87" t="s">
        <v>285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468</v>
      </c>
      <c r="D290" s="28" t="s">
        <v>132</v>
      </c>
      <c r="E290" s="29" t="s">
        <v>284</v>
      </c>
      <c r="F290" s="30">
        <v>6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162</v>
      </c>
      <c r="D291" s="28" t="s">
        <v>70</v>
      </c>
      <c r="E291" s="29">
        <v>10</v>
      </c>
      <c r="F291" s="30">
        <v>2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151</v>
      </c>
      <c r="D292" s="28" t="s">
        <v>56</v>
      </c>
      <c r="E292" s="29">
        <v>1</v>
      </c>
      <c r="F292" s="30">
        <v>13</v>
      </c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14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233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0" t="s">
        <v>13</v>
      </c>
      <c r="C302" s="111"/>
      <c r="D302" s="110" t="s">
        <v>68</v>
      </c>
      <c r="E302" s="112">
        <v>4</v>
      </c>
      <c r="F302" s="113">
        <v>6</v>
      </c>
      <c r="G302" s="80" t="s">
        <v>285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5" t="s">
        <v>13</v>
      </c>
      <c r="C303" s="115"/>
      <c r="D303" s="115" t="s">
        <v>100</v>
      </c>
      <c r="E303" s="116" t="s">
        <v>284</v>
      </c>
      <c r="F303" s="115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284</v>
      </c>
      <c r="F304" s="21">
        <v>37</v>
      </c>
      <c r="G304" s="87">
        <v>45953</v>
      </c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234</v>
      </c>
      <c r="D305" s="28" t="s">
        <v>30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235</v>
      </c>
      <c r="D306" s="28" t="s">
        <v>84</v>
      </c>
      <c r="E306" s="29">
        <v>1</v>
      </c>
      <c r="F306" s="30">
        <v>1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106" t="s">
        <v>16</v>
      </c>
      <c r="C307" s="106" t="s">
        <v>174</v>
      </c>
      <c r="D307" s="106" t="s">
        <v>121</v>
      </c>
      <c r="E307" s="107">
        <v>4</v>
      </c>
      <c r="F307" s="108">
        <v>4</v>
      </c>
      <c r="G307" s="87" t="s">
        <v>285</v>
      </c>
      <c r="H307" s="91">
        <v>46002</v>
      </c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491</v>
      </c>
      <c r="D308" s="28" t="s">
        <v>64</v>
      </c>
      <c r="E308" s="29" t="s">
        <v>284</v>
      </c>
      <c r="F308" s="30">
        <v>4</v>
      </c>
      <c r="G308" s="87">
        <v>46002</v>
      </c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163</v>
      </c>
      <c r="D309" s="106" t="s">
        <v>68</v>
      </c>
      <c r="E309" s="107">
        <v>1</v>
      </c>
      <c r="F309" s="108">
        <v>1</v>
      </c>
      <c r="G309" s="87" t="s">
        <v>285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172</v>
      </c>
      <c r="D310" s="28" t="s">
        <v>26</v>
      </c>
      <c r="E310" s="29" t="s">
        <v>284</v>
      </c>
      <c r="F310" s="30">
        <v>10</v>
      </c>
      <c r="G310" s="87">
        <v>45911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6" t="s">
        <v>16</v>
      </c>
      <c r="C311" s="106" t="s">
        <v>102</v>
      </c>
      <c r="D311" s="106" t="s">
        <v>132</v>
      </c>
      <c r="E311" s="107">
        <v>9</v>
      </c>
      <c r="F311" s="108">
        <v>0</v>
      </c>
      <c r="G311" s="83" t="s">
        <v>285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516</v>
      </c>
      <c r="D312" s="28" t="s">
        <v>86</v>
      </c>
      <c r="E312" s="29" t="s">
        <v>284</v>
      </c>
      <c r="F312" s="30">
        <v>4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71</v>
      </c>
      <c r="D313" s="28" t="s">
        <v>22</v>
      </c>
      <c r="E313" s="29">
        <v>54</v>
      </c>
      <c r="F313" s="30">
        <v>33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236</v>
      </c>
      <c r="D314" s="106" t="s">
        <v>122</v>
      </c>
      <c r="E314" s="107">
        <v>8</v>
      </c>
      <c r="F314" s="108">
        <v>1</v>
      </c>
      <c r="G314" s="87" t="s">
        <v>285</v>
      </c>
      <c r="H314" s="91">
        <v>45939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455</v>
      </c>
      <c r="D315" s="28" t="s">
        <v>85</v>
      </c>
      <c r="E315" s="29" t="s">
        <v>284</v>
      </c>
      <c r="F315" s="30">
        <v>4</v>
      </c>
      <c r="G315" s="87">
        <v>45939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106" t="s">
        <v>17</v>
      </c>
      <c r="C316" s="106" t="s">
        <v>237</v>
      </c>
      <c r="D316" s="106" t="s">
        <v>120</v>
      </c>
      <c r="E316" s="107">
        <v>1</v>
      </c>
      <c r="F316" s="108">
        <v>13</v>
      </c>
      <c r="G316" s="87" t="s">
        <v>285</v>
      </c>
      <c r="H316" s="91">
        <v>46093</v>
      </c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542</v>
      </c>
      <c r="D317" s="28" t="s">
        <v>68</v>
      </c>
      <c r="E317" s="29" t="s">
        <v>284</v>
      </c>
      <c r="F317" s="30">
        <v>2</v>
      </c>
      <c r="G317" s="87">
        <v>46093</v>
      </c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238</v>
      </c>
      <c r="D318" s="106" t="s">
        <v>239</v>
      </c>
      <c r="E318" s="107">
        <v>1</v>
      </c>
      <c r="F318" s="108">
        <v>0</v>
      </c>
      <c r="G318" s="83" t="s">
        <v>285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106" t="s">
        <v>17</v>
      </c>
      <c r="C319" s="106" t="s">
        <v>445</v>
      </c>
      <c r="D319" s="106" t="s">
        <v>446</v>
      </c>
      <c r="E319" s="107" t="s">
        <v>284</v>
      </c>
      <c r="F319" s="108">
        <v>1</v>
      </c>
      <c r="G319" s="87">
        <v>45911</v>
      </c>
      <c r="H319" s="91">
        <v>46051</v>
      </c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28" t="s">
        <v>17</v>
      </c>
      <c r="C320" s="28" t="s">
        <v>519</v>
      </c>
      <c r="D320" s="28" t="s">
        <v>80</v>
      </c>
      <c r="E320" s="29" t="s">
        <v>284</v>
      </c>
      <c r="F320" s="30">
        <v>2</v>
      </c>
      <c r="G320" s="87">
        <v>46051</v>
      </c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 t="s">
        <v>17</v>
      </c>
      <c r="C321" s="106" t="s">
        <v>240</v>
      </c>
      <c r="D321" s="106" t="s">
        <v>88</v>
      </c>
      <c r="E321" s="107">
        <v>1</v>
      </c>
      <c r="F321" s="108">
        <v>0</v>
      </c>
      <c r="G321" s="87" t="s">
        <v>285</v>
      </c>
      <c r="H321" s="91">
        <v>45890</v>
      </c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 t="s">
        <v>17</v>
      </c>
      <c r="C322" s="28" t="s">
        <v>402</v>
      </c>
      <c r="D322" s="28" t="s">
        <v>276</v>
      </c>
      <c r="E322" s="29" t="s">
        <v>284</v>
      </c>
      <c r="F322" s="30">
        <v>15</v>
      </c>
      <c r="G322" s="87">
        <v>45890</v>
      </c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38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243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46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479</v>
      </c>
      <c r="D332" s="28" t="s">
        <v>148</v>
      </c>
      <c r="E332" s="29">
        <v>1</v>
      </c>
      <c r="F332" s="30">
        <v>4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133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106" t="s">
        <v>16</v>
      </c>
      <c r="C335" s="106" t="s">
        <v>144</v>
      </c>
      <c r="D335" s="106" t="s">
        <v>241</v>
      </c>
      <c r="E335" s="107">
        <v>1</v>
      </c>
      <c r="F335" s="108">
        <v>0</v>
      </c>
      <c r="G335" s="87" t="s">
        <v>285</v>
      </c>
      <c r="H335" s="91">
        <v>45995</v>
      </c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485</v>
      </c>
      <c r="D336" s="28" t="s">
        <v>19</v>
      </c>
      <c r="E336" s="29" t="s">
        <v>284</v>
      </c>
      <c r="F336" s="30">
        <v>3</v>
      </c>
      <c r="G336" s="87">
        <v>45995</v>
      </c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180</v>
      </c>
      <c r="D337" s="106" t="s">
        <v>160</v>
      </c>
      <c r="E337" s="107">
        <v>1</v>
      </c>
      <c r="F337" s="108">
        <v>2</v>
      </c>
      <c r="G337" s="87" t="s">
        <v>285</v>
      </c>
      <c r="H337" s="91">
        <v>46072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531</v>
      </c>
      <c r="D338" s="28" t="s">
        <v>103</v>
      </c>
      <c r="E338" s="29" t="s">
        <v>284</v>
      </c>
      <c r="F338" s="30">
        <v>0</v>
      </c>
      <c r="G338" s="87">
        <v>46072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 t="s">
        <v>16</v>
      </c>
      <c r="C339" s="28" t="s">
        <v>279</v>
      </c>
      <c r="D339" s="28" t="s">
        <v>24</v>
      </c>
      <c r="E339" s="29">
        <v>1</v>
      </c>
      <c r="F339" s="30">
        <v>3</v>
      </c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106" t="s">
        <v>17</v>
      </c>
      <c r="C341" s="106" t="s">
        <v>242</v>
      </c>
      <c r="D341" s="106" t="s">
        <v>206</v>
      </c>
      <c r="E341" s="107">
        <v>1</v>
      </c>
      <c r="F341" s="108">
        <v>2</v>
      </c>
      <c r="G341" s="83" t="s">
        <v>285</v>
      </c>
      <c r="H341" s="91">
        <v>46072</v>
      </c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532</v>
      </c>
      <c r="D342" s="28" t="s">
        <v>156</v>
      </c>
      <c r="E342" s="29" t="s">
        <v>284</v>
      </c>
      <c r="F342" s="30">
        <v>1</v>
      </c>
      <c r="G342" s="87">
        <v>46072</v>
      </c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142</v>
      </c>
      <c r="D343" s="28" t="s">
        <v>82</v>
      </c>
      <c r="E343" s="29">
        <v>1</v>
      </c>
      <c r="F343" s="30">
        <v>12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106" t="s">
        <v>17</v>
      </c>
      <c r="C344" s="106" t="s">
        <v>127</v>
      </c>
      <c r="D344" s="106" t="s">
        <v>121</v>
      </c>
      <c r="E344" s="107">
        <v>1</v>
      </c>
      <c r="F344" s="108">
        <v>3</v>
      </c>
      <c r="G344" s="87" t="s">
        <v>285</v>
      </c>
      <c r="H344" s="91">
        <v>46072</v>
      </c>
      <c r="I344" s="90"/>
      <c r="J344" s="1"/>
      <c r="N344" s="1"/>
      <c r="O344" s="1"/>
    </row>
    <row r="345" spans="1:15" ht="13.4" customHeight="1" x14ac:dyDescent="0.3">
      <c r="A345" s="79"/>
      <c r="B345" s="28" t="s">
        <v>17</v>
      </c>
      <c r="C345" s="28" t="s">
        <v>430</v>
      </c>
      <c r="D345" s="28" t="s">
        <v>82</v>
      </c>
      <c r="E345" s="29" t="s">
        <v>284</v>
      </c>
      <c r="F345" s="30">
        <v>1</v>
      </c>
      <c r="G345" s="87">
        <v>46072</v>
      </c>
      <c r="H345" s="91"/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280</v>
      </c>
      <c r="D346" s="28" t="s">
        <v>132</v>
      </c>
      <c r="E346" s="29">
        <v>1</v>
      </c>
      <c r="F346" s="30">
        <v>10</v>
      </c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 t="s">
        <v>17</v>
      </c>
      <c r="C347" s="106" t="s">
        <v>281</v>
      </c>
      <c r="D347" s="106" t="s">
        <v>84</v>
      </c>
      <c r="E347" s="107">
        <v>1</v>
      </c>
      <c r="F347" s="108">
        <v>0</v>
      </c>
      <c r="G347" s="87" t="s">
        <v>285</v>
      </c>
      <c r="H347" s="91">
        <v>45932</v>
      </c>
      <c r="I347" s="90"/>
      <c r="J347" s="1"/>
      <c r="N347" s="1"/>
      <c r="O347" s="1"/>
    </row>
    <row r="348" spans="1:15" ht="13.4" customHeight="1" x14ac:dyDescent="0.3">
      <c r="A348" s="79"/>
      <c r="B348" s="28" t="s">
        <v>17</v>
      </c>
      <c r="C348" s="28" t="s">
        <v>456</v>
      </c>
      <c r="D348" s="28" t="s">
        <v>177</v>
      </c>
      <c r="E348" s="29" t="s">
        <v>284</v>
      </c>
      <c r="F348" s="30">
        <v>13</v>
      </c>
      <c r="G348" s="87">
        <v>45932</v>
      </c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9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245</v>
      </c>
      <c r="D353" s="1" t="s">
        <v>244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48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135</v>
      </c>
      <c r="D359" s="28" t="s">
        <v>84</v>
      </c>
      <c r="E359" s="29">
        <v>4</v>
      </c>
      <c r="F359" s="30">
        <v>4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246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 t="s">
        <v>16</v>
      </c>
      <c r="C361" s="28" t="s">
        <v>247</v>
      </c>
      <c r="D361" s="28" t="s">
        <v>18</v>
      </c>
      <c r="E361" s="29">
        <v>32</v>
      </c>
      <c r="F361" s="30">
        <v>9</v>
      </c>
      <c r="G361" s="1"/>
      <c r="H361" s="1"/>
      <c r="I361" s="1"/>
      <c r="J361" s="1"/>
    </row>
    <row r="362" spans="2:10" ht="13.4" customHeight="1" x14ac:dyDescent="0.3">
      <c r="B362" s="106" t="s">
        <v>16</v>
      </c>
      <c r="C362" s="106" t="s">
        <v>248</v>
      </c>
      <c r="D362" s="106" t="s">
        <v>56</v>
      </c>
      <c r="E362" s="107">
        <v>4</v>
      </c>
      <c r="F362" s="108">
        <v>1</v>
      </c>
      <c r="G362" s="1" t="s">
        <v>285</v>
      </c>
      <c r="H362" s="103">
        <v>45988</v>
      </c>
      <c r="I362" s="1"/>
      <c r="J362" s="1"/>
    </row>
    <row r="363" spans="2:10" ht="13.4" customHeight="1" x14ac:dyDescent="0.3">
      <c r="B363" s="106" t="s">
        <v>16</v>
      </c>
      <c r="C363" s="106" t="s">
        <v>483</v>
      </c>
      <c r="D363" s="106" t="s">
        <v>18</v>
      </c>
      <c r="E363" s="107" t="s">
        <v>284</v>
      </c>
      <c r="F363" s="108">
        <v>3</v>
      </c>
      <c r="G363" s="103">
        <v>45988</v>
      </c>
      <c r="H363" s="103">
        <v>46086</v>
      </c>
      <c r="I363" s="1"/>
      <c r="J363" s="1"/>
    </row>
    <row r="364" spans="2:10" ht="13.4" customHeight="1" x14ac:dyDescent="0.3">
      <c r="B364" s="28" t="s">
        <v>16</v>
      </c>
      <c r="C364" s="28" t="s">
        <v>538</v>
      </c>
      <c r="D364" s="28" t="s">
        <v>33</v>
      </c>
      <c r="E364" s="29" t="s">
        <v>284</v>
      </c>
      <c r="F364" s="30">
        <v>2</v>
      </c>
      <c r="G364" s="103">
        <v>46086</v>
      </c>
      <c r="H364" s="103"/>
      <c r="I364" s="1"/>
      <c r="J364" s="1"/>
    </row>
    <row r="365" spans="2:10" ht="13.4" customHeight="1" x14ac:dyDescent="0.3">
      <c r="B365" s="106" t="s">
        <v>16</v>
      </c>
      <c r="C365" s="106" t="s">
        <v>173</v>
      </c>
      <c r="D365" s="106" t="s">
        <v>120</v>
      </c>
      <c r="E365" s="107">
        <v>1</v>
      </c>
      <c r="F365" s="108">
        <v>0</v>
      </c>
      <c r="G365" s="103" t="s">
        <v>285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407</v>
      </c>
      <c r="D366" s="28" t="s">
        <v>149</v>
      </c>
      <c r="E366" s="29" t="s">
        <v>284</v>
      </c>
      <c r="F366" s="30">
        <v>4</v>
      </c>
      <c r="G366" s="103">
        <v>45904</v>
      </c>
      <c r="H366" s="103"/>
      <c r="I366" s="1"/>
      <c r="J366" s="1"/>
    </row>
    <row r="367" spans="2:10" ht="13.4" customHeight="1" x14ac:dyDescent="0.3">
      <c r="B367" s="106" t="s">
        <v>17</v>
      </c>
      <c r="C367" s="106" t="s">
        <v>92</v>
      </c>
      <c r="D367" s="106" t="s">
        <v>114</v>
      </c>
      <c r="E367" s="107">
        <v>27</v>
      </c>
      <c r="F367" s="108">
        <v>5</v>
      </c>
      <c r="G367" s="1" t="s">
        <v>285</v>
      </c>
      <c r="H367" s="103">
        <v>46086</v>
      </c>
      <c r="I367" s="1"/>
      <c r="J367" s="1"/>
    </row>
    <row r="368" spans="2:10" ht="13.4" customHeight="1" x14ac:dyDescent="0.3">
      <c r="B368" s="28" t="s">
        <v>17</v>
      </c>
      <c r="C368" s="28" t="s">
        <v>540</v>
      </c>
      <c r="D368" s="28" t="s">
        <v>83</v>
      </c>
      <c r="E368" s="29" t="s">
        <v>284</v>
      </c>
      <c r="F368" s="30">
        <v>0</v>
      </c>
      <c r="G368" s="103">
        <v>46086</v>
      </c>
      <c r="H368" s="103"/>
      <c r="I368" s="1"/>
      <c r="J368" s="1"/>
    </row>
    <row r="369" spans="2:10" ht="13.4" customHeight="1" x14ac:dyDescent="0.3">
      <c r="B369" s="28" t="s">
        <v>17</v>
      </c>
      <c r="C369" s="28" t="s">
        <v>249</v>
      </c>
      <c r="D369" s="28" t="s">
        <v>170</v>
      </c>
      <c r="E369" s="29">
        <v>12</v>
      </c>
      <c r="F369" s="30">
        <v>8</v>
      </c>
      <c r="G369" s="103"/>
      <c r="H369" s="103"/>
      <c r="I369" s="1"/>
      <c r="J369" s="1"/>
    </row>
    <row r="370" spans="2:10" ht="13.4" customHeight="1" x14ac:dyDescent="0.3">
      <c r="B370" s="28" t="s">
        <v>17</v>
      </c>
      <c r="C370" s="28" t="s">
        <v>250</v>
      </c>
      <c r="D370" s="28" t="s">
        <v>425</v>
      </c>
      <c r="E370" s="29">
        <v>5</v>
      </c>
      <c r="F370" s="30">
        <v>15</v>
      </c>
      <c r="G370" s="103"/>
      <c r="H370" s="1"/>
      <c r="I370" s="1"/>
      <c r="J370" s="1"/>
    </row>
    <row r="371" spans="2:10" ht="13.4" customHeight="1" x14ac:dyDescent="0.3">
      <c r="B371" s="106" t="s">
        <v>17</v>
      </c>
      <c r="C371" s="106" t="s">
        <v>251</v>
      </c>
      <c r="D371" s="106" t="s">
        <v>23</v>
      </c>
      <c r="E371" s="107">
        <v>1</v>
      </c>
      <c r="F371" s="108">
        <v>3</v>
      </c>
      <c r="G371" s="1" t="s">
        <v>285</v>
      </c>
      <c r="H371" s="103">
        <v>46009</v>
      </c>
      <c r="I371" s="1"/>
      <c r="J371" s="1"/>
    </row>
    <row r="372" spans="2:10" ht="13.4" customHeight="1" x14ac:dyDescent="0.3">
      <c r="B372" s="106" t="s">
        <v>17</v>
      </c>
      <c r="C372" s="106" t="s">
        <v>495</v>
      </c>
      <c r="D372" s="106" t="s">
        <v>288</v>
      </c>
      <c r="E372" s="107" t="s">
        <v>284</v>
      </c>
      <c r="F372" s="108">
        <v>0</v>
      </c>
      <c r="G372" s="103">
        <v>46009</v>
      </c>
      <c r="H372" s="103">
        <v>46086</v>
      </c>
      <c r="I372" s="1"/>
      <c r="J372" s="1"/>
    </row>
    <row r="373" spans="2:10" ht="13.4" customHeight="1" x14ac:dyDescent="0.3">
      <c r="B373" s="28" t="s">
        <v>17</v>
      </c>
      <c r="C373" s="28" t="s">
        <v>539</v>
      </c>
      <c r="D373" s="28" t="s">
        <v>404</v>
      </c>
      <c r="E373" s="29" t="s">
        <v>284</v>
      </c>
      <c r="F373" s="30">
        <v>1</v>
      </c>
      <c r="G373" s="103">
        <v>46086</v>
      </c>
      <c r="H373" s="103"/>
      <c r="I373" s="1"/>
      <c r="J373" s="1"/>
    </row>
    <row r="374" spans="2:10" ht="13.4" customHeight="1" x14ac:dyDescent="0.3">
      <c r="B374" s="106" t="s">
        <v>17</v>
      </c>
      <c r="C374" s="106" t="s">
        <v>145</v>
      </c>
      <c r="D374" s="106" t="s">
        <v>83</v>
      </c>
      <c r="E374" s="107">
        <v>1</v>
      </c>
      <c r="F374" s="108">
        <v>0</v>
      </c>
      <c r="G374" s="103" t="s">
        <v>285</v>
      </c>
      <c r="H374" s="103">
        <v>45890</v>
      </c>
      <c r="I374" s="1"/>
      <c r="J374" s="1"/>
    </row>
    <row r="375" spans="2:10" ht="13.4" customHeight="1" x14ac:dyDescent="0.3">
      <c r="B375" s="106" t="s">
        <v>17</v>
      </c>
      <c r="C375" s="106" t="s">
        <v>401</v>
      </c>
      <c r="D375" s="106" t="s">
        <v>158</v>
      </c>
      <c r="E375" s="107" t="s">
        <v>284</v>
      </c>
      <c r="F375" s="108">
        <v>0</v>
      </c>
      <c r="G375" s="103">
        <v>45890</v>
      </c>
      <c r="H375" s="103">
        <v>45939</v>
      </c>
      <c r="I375" s="1"/>
      <c r="J375" s="1"/>
    </row>
    <row r="376" spans="2:10" ht="13.4" customHeight="1" thickBot="1" x14ac:dyDescent="0.35">
      <c r="B376" s="28" t="s">
        <v>17</v>
      </c>
      <c r="C376" s="28" t="s">
        <v>457</v>
      </c>
      <c r="D376" s="28" t="s">
        <v>97</v>
      </c>
      <c r="E376" s="29" t="s">
        <v>284</v>
      </c>
      <c r="F376" s="30">
        <v>7</v>
      </c>
      <c r="G376" s="103">
        <v>45939</v>
      </c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15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111</v>
      </c>
      <c r="D380" s="3" t="s">
        <v>112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workbookViewId="0">
      <selection activeCell="H12" sqref="H12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252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98</v>
      </c>
      <c r="D7" s="55" t="s">
        <v>233</v>
      </c>
      <c r="E7" s="25">
        <v>38</v>
      </c>
      <c r="F7" s="56">
        <v>95</v>
      </c>
      <c r="G7" s="57">
        <v>57</v>
      </c>
      <c r="H7" s="117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27</v>
      </c>
      <c r="D8" s="24" t="s">
        <v>15</v>
      </c>
      <c r="E8" s="25">
        <v>38</v>
      </c>
      <c r="F8" s="26">
        <v>85</v>
      </c>
      <c r="G8" s="27">
        <v>47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25</v>
      </c>
      <c r="D9" s="24" t="s">
        <v>198</v>
      </c>
      <c r="E9" s="25">
        <v>37</v>
      </c>
      <c r="F9" s="26">
        <v>75</v>
      </c>
      <c r="G9" s="27">
        <v>38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32</v>
      </c>
      <c r="D10" s="55" t="s">
        <v>31</v>
      </c>
      <c r="E10" s="25">
        <v>34</v>
      </c>
      <c r="F10" s="26">
        <v>91</v>
      </c>
      <c r="G10" s="27">
        <v>57</v>
      </c>
      <c r="H10" s="117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51</v>
      </c>
      <c r="D11" s="24" t="s">
        <v>203</v>
      </c>
      <c r="E11" s="25">
        <v>31</v>
      </c>
      <c r="F11" s="26">
        <v>80</v>
      </c>
      <c r="G11" s="27">
        <v>49</v>
      </c>
      <c r="H11" s="117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21</v>
      </c>
      <c r="D12" s="55" t="s">
        <v>188</v>
      </c>
      <c r="E12" s="25">
        <v>30</v>
      </c>
      <c r="F12" s="26">
        <v>84</v>
      </c>
      <c r="G12" s="27">
        <v>54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</v>
      </c>
      <c r="D13" s="55" t="s">
        <v>1</v>
      </c>
      <c r="E13" s="25">
        <v>30</v>
      </c>
      <c r="F13" s="56">
        <v>66</v>
      </c>
      <c r="G13" s="57">
        <v>36</v>
      </c>
      <c r="H13" s="117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54</v>
      </c>
      <c r="D14" s="24" t="s">
        <v>267</v>
      </c>
      <c r="E14" s="25">
        <v>24</v>
      </c>
      <c r="F14" s="26">
        <v>89</v>
      </c>
      <c r="G14" s="27">
        <v>65</v>
      </c>
      <c r="H14" s="117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244</v>
      </c>
      <c r="D15" s="24" t="s">
        <v>245</v>
      </c>
      <c r="E15" s="25">
        <v>15</v>
      </c>
      <c r="F15" s="26">
        <v>63</v>
      </c>
      <c r="G15" s="27">
        <v>48</v>
      </c>
      <c r="H15" s="117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117</v>
      </c>
      <c r="D16" s="55" t="s">
        <v>140</v>
      </c>
      <c r="E16" s="25">
        <v>14</v>
      </c>
      <c r="F16" s="26">
        <v>68</v>
      </c>
      <c r="G16" s="27">
        <v>54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55</v>
      </c>
      <c r="D17" s="55" t="s">
        <v>222</v>
      </c>
      <c r="E17" s="25">
        <v>13</v>
      </c>
      <c r="F17" s="56">
        <v>76</v>
      </c>
      <c r="G17" s="57">
        <v>63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35</v>
      </c>
      <c r="D18" s="24" t="s">
        <v>34</v>
      </c>
      <c r="E18" s="25">
        <v>11</v>
      </c>
      <c r="F18" s="26">
        <v>60</v>
      </c>
      <c r="G18" s="27">
        <v>49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52</v>
      </c>
      <c r="D19" s="24" t="s">
        <v>53</v>
      </c>
      <c r="E19" s="25">
        <v>10</v>
      </c>
      <c r="F19" s="26">
        <v>57</v>
      </c>
      <c r="G19" s="27">
        <v>47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66</v>
      </c>
      <c r="D20" s="24" t="s">
        <v>243</v>
      </c>
      <c r="E20" s="25">
        <v>9</v>
      </c>
      <c r="F20" s="26">
        <v>55</v>
      </c>
      <c r="G20" s="27">
        <v>46</v>
      </c>
      <c r="H20" s="117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J25" sqref="J25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253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38</v>
      </c>
      <c r="C3" s="40"/>
      <c r="D3" s="40"/>
      <c r="E3" s="40"/>
      <c r="F3" s="40"/>
      <c r="G3" s="40"/>
    </row>
    <row r="4" spans="1:10" ht="13.5" customHeight="1" x14ac:dyDescent="0.3">
      <c r="A4" s="67" t="s">
        <v>42</v>
      </c>
      <c r="B4" s="68" t="s">
        <v>222</v>
      </c>
      <c r="C4" s="64">
        <v>2</v>
      </c>
      <c r="D4" s="64" t="s">
        <v>431</v>
      </c>
      <c r="E4" s="69" t="s">
        <v>245</v>
      </c>
      <c r="F4" s="100">
        <v>-2</v>
      </c>
      <c r="G4" s="100" t="s">
        <v>467</v>
      </c>
      <c r="I4" s="38" t="s">
        <v>507</v>
      </c>
      <c r="J4" s="38" t="s">
        <v>508</v>
      </c>
    </row>
    <row r="5" spans="1:10" ht="13.5" customHeight="1" x14ac:dyDescent="0.3">
      <c r="A5" s="67" t="s">
        <v>43</v>
      </c>
      <c r="B5" s="68" t="s">
        <v>15</v>
      </c>
      <c r="C5" s="64">
        <v>3</v>
      </c>
      <c r="D5" s="64" t="s">
        <v>522</v>
      </c>
      <c r="E5" s="68" t="s">
        <v>267</v>
      </c>
      <c r="F5" s="64">
        <v>3</v>
      </c>
      <c r="G5" s="64" t="s">
        <v>522</v>
      </c>
      <c r="I5" s="38" t="s">
        <v>509</v>
      </c>
      <c r="J5" s="38" t="s">
        <v>510</v>
      </c>
    </row>
    <row r="6" spans="1:10" ht="13.5" customHeight="1" x14ac:dyDescent="0.3">
      <c r="A6" s="67" t="s">
        <v>44</v>
      </c>
      <c r="B6" s="69" t="s">
        <v>53</v>
      </c>
      <c r="C6" s="100">
        <v>2</v>
      </c>
      <c r="D6" s="100" t="s">
        <v>431</v>
      </c>
      <c r="E6" s="68" t="s">
        <v>233</v>
      </c>
      <c r="F6" s="64">
        <v>3</v>
      </c>
      <c r="G6" s="64" t="s">
        <v>524</v>
      </c>
      <c r="I6" s="38" t="s">
        <v>511</v>
      </c>
      <c r="J6" s="38" t="s">
        <v>512</v>
      </c>
    </row>
    <row r="7" spans="1:10" ht="13.5" customHeight="1" x14ac:dyDescent="0.3">
      <c r="A7" s="67" t="s">
        <v>45</v>
      </c>
      <c r="B7" s="68" t="s">
        <v>198</v>
      </c>
      <c r="C7" s="64">
        <v>0</v>
      </c>
      <c r="D7" s="64" t="s">
        <v>436</v>
      </c>
      <c r="E7" s="69" t="s">
        <v>140</v>
      </c>
      <c r="F7" s="100">
        <v>-1</v>
      </c>
      <c r="G7" s="100" t="s">
        <v>523</v>
      </c>
      <c r="I7" s="38" t="s">
        <v>40</v>
      </c>
      <c r="J7" s="38" t="s">
        <v>513</v>
      </c>
    </row>
    <row r="8" spans="1:10" ht="13.5" customHeight="1" x14ac:dyDescent="0.3">
      <c r="A8" s="67" t="s">
        <v>46</v>
      </c>
      <c r="B8" s="69" t="s">
        <v>203</v>
      </c>
      <c r="C8" s="100">
        <v>1</v>
      </c>
      <c r="D8" s="100" t="s">
        <v>434</v>
      </c>
      <c r="E8" s="68" t="s">
        <v>188</v>
      </c>
      <c r="F8" s="64">
        <v>4</v>
      </c>
      <c r="G8" s="64" t="s">
        <v>435</v>
      </c>
    </row>
    <row r="9" spans="1:10" ht="13.5" customHeight="1" x14ac:dyDescent="0.3">
      <c r="A9" s="67" t="s">
        <v>47</v>
      </c>
      <c r="B9" s="68" t="s">
        <v>1</v>
      </c>
      <c r="C9" s="64">
        <v>1</v>
      </c>
      <c r="D9" s="64" t="s">
        <v>433</v>
      </c>
      <c r="E9" s="69" t="s">
        <v>34</v>
      </c>
      <c r="F9" s="100">
        <v>-2</v>
      </c>
      <c r="G9" s="100" t="s">
        <v>467</v>
      </c>
      <c r="I9" s="38" t="s">
        <v>514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  <c r="I10" s="38" t="s">
        <v>243</v>
      </c>
    </row>
    <row r="11" spans="1:10" ht="13.5" customHeight="1" x14ac:dyDescent="0.35">
      <c r="A11" s="67"/>
      <c r="B11" s="63" t="s">
        <v>525</v>
      </c>
      <c r="C11" s="68"/>
      <c r="D11" s="64"/>
      <c r="E11" s="65"/>
      <c r="F11" s="68"/>
      <c r="G11" s="64"/>
      <c r="I11" s="38" t="s">
        <v>31</v>
      </c>
    </row>
    <row r="12" spans="1:10" ht="13.5" customHeight="1" x14ac:dyDescent="0.3">
      <c r="A12" s="67" t="s">
        <v>48</v>
      </c>
      <c r="B12" s="69" t="s">
        <v>267</v>
      </c>
      <c r="C12" s="100">
        <v>0</v>
      </c>
      <c r="D12" s="100" t="s">
        <v>439</v>
      </c>
      <c r="E12" s="68" t="s">
        <v>15</v>
      </c>
      <c r="F12" s="64">
        <v>2</v>
      </c>
      <c r="G12" s="64" t="s">
        <v>431</v>
      </c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62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49</v>
      </c>
      <c r="B15" s="65" t="s">
        <v>233</v>
      </c>
      <c r="C15" s="64">
        <v>1</v>
      </c>
      <c r="D15" s="64" t="s">
        <v>433</v>
      </c>
      <c r="E15" s="65" t="s">
        <v>222</v>
      </c>
      <c r="F15" s="64">
        <v>1</v>
      </c>
      <c r="G15" s="64" t="s">
        <v>433</v>
      </c>
    </row>
    <row r="16" spans="1:10" ht="13.5" customHeight="1" x14ac:dyDescent="0.3">
      <c r="A16" s="67" t="s">
        <v>50</v>
      </c>
      <c r="B16" s="65" t="s">
        <v>15</v>
      </c>
      <c r="C16" s="64">
        <v>2</v>
      </c>
      <c r="D16" s="64" t="s">
        <v>431</v>
      </c>
      <c r="E16" s="70" t="s">
        <v>528</v>
      </c>
      <c r="F16" s="100">
        <v>1</v>
      </c>
      <c r="G16" s="100" t="s">
        <v>438</v>
      </c>
    </row>
    <row r="17" spans="1:7" ht="13.5" customHeight="1" x14ac:dyDescent="0.3">
      <c r="A17" s="67" t="s">
        <v>63</v>
      </c>
      <c r="B17" s="70" t="s">
        <v>243</v>
      </c>
      <c r="C17" s="100">
        <v>2</v>
      </c>
      <c r="D17" s="100" t="s">
        <v>534</v>
      </c>
      <c r="E17" s="65" t="s">
        <v>31</v>
      </c>
      <c r="F17" s="64">
        <v>3</v>
      </c>
      <c r="G17" s="64" t="s">
        <v>522</v>
      </c>
    </row>
    <row r="18" spans="1:7" ht="13.5" customHeight="1" x14ac:dyDescent="0.3">
      <c r="A18" s="67" t="s">
        <v>76</v>
      </c>
      <c r="B18" s="65" t="s">
        <v>1</v>
      </c>
      <c r="C18" s="64">
        <v>0</v>
      </c>
      <c r="D18" s="64" t="s">
        <v>436</v>
      </c>
      <c r="E18" s="70" t="s">
        <v>198</v>
      </c>
      <c r="F18" s="100">
        <v>-1</v>
      </c>
      <c r="G18" s="100" t="s">
        <v>437</v>
      </c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535</v>
      </c>
      <c r="C20" s="68"/>
      <c r="D20" s="64"/>
      <c r="E20" s="65"/>
      <c r="F20" s="68"/>
      <c r="G20" s="64"/>
    </row>
    <row r="21" spans="1:7" ht="13.5" customHeight="1" x14ac:dyDescent="0.3">
      <c r="A21" s="67" t="s">
        <v>77</v>
      </c>
      <c r="B21" s="68" t="s">
        <v>222</v>
      </c>
      <c r="C21" s="64">
        <v>0</v>
      </c>
      <c r="D21" s="64" t="s">
        <v>436</v>
      </c>
      <c r="E21" s="69" t="s">
        <v>233</v>
      </c>
      <c r="F21" s="100">
        <v>-1</v>
      </c>
      <c r="G21" s="100" t="s">
        <v>437</v>
      </c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39</v>
      </c>
      <c r="C23" s="66"/>
      <c r="D23" s="61"/>
      <c r="E23" s="40"/>
      <c r="F23" s="66"/>
      <c r="G23" s="40"/>
    </row>
    <row r="24" spans="1:7" ht="13.5" customHeight="1" x14ac:dyDescent="0.3">
      <c r="A24" s="67" t="s">
        <v>78</v>
      </c>
      <c r="B24" s="65" t="s">
        <v>222</v>
      </c>
      <c r="C24" s="64">
        <v>2</v>
      </c>
      <c r="D24" s="64" t="s">
        <v>431</v>
      </c>
      <c r="E24" s="70" t="s">
        <v>31</v>
      </c>
      <c r="F24" s="100">
        <v>0</v>
      </c>
      <c r="G24" s="100" t="s">
        <v>436</v>
      </c>
    </row>
    <row r="25" spans="1:7" ht="13.5" customHeight="1" x14ac:dyDescent="0.3">
      <c r="A25" s="67" t="s">
        <v>110</v>
      </c>
      <c r="B25" s="65" t="s">
        <v>15</v>
      </c>
      <c r="C25" s="64">
        <v>0</v>
      </c>
      <c r="D25" s="64" t="s">
        <v>436</v>
      </c>
      <c r="E25" s="65" t="s">
        <v>1</v>
      </c>
      <c r="F25" s="64">
        <v>0</v>
      </c>
      <c r="G25" s="64" t="s">
        <v>436</v>
      </c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543</v>
      </c>
      <c r="C27" s="68"/>
      <c r="D27" s="64"/>
      <c r="E27" s="65"/>
      <c r="F27" s="68"/>
      <c r="G27" s="64"/>
    </row>
    <row r="28" spans="1:7" ht="13.5" customHeight="1" x14ac:dyDescent="0.3">
      <c r="A28" s="67" t="s">
        <v>255</v>
      </c>
      <c r="B28" s="68" t="s">
        <v>1</v>
      </c>
      <c r="C28" s="64">
        <v>1</v>
      </c>
      <c r="D28" s="64" t="s">
        <v>433</v>
      </c>
      <c r="E28" s="69" t="s">
        <v>15</v>
      </c>
      <c r="F28" s="100">
        <v>0</v>
      </c>
      <c r="G28" s="100" t="s">
        <v>462</v>
      </c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40</v>
      </c>
      <c r="C30" s="65"/>
      <c r="D30" s="64"/>
      <c r="E30" s="65"/>
      <c r="F30" s="40"/>
      <c r="G30" s="40"/>
    </row>
    <row r="31" spans="1:7" ht="13.5" customHeight="1" x14ac:dyDescent="0.3">
      <c r="A31" s="67" t="s">
        <v>256</v>
      </c>
      <c r="B31" s="65" t="s">
        <v>222</v>
      </c>
      <c r="C31" s="68"/>
      <c r="D31" s="64"/>
      <c r="E31" s="65" t="s">
        <v>1</v>
      </c>
      <c r="F31" s="69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41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topLeftCell="A33" workbookViewId="0">
      <selection activeCell="D30" sqref="D30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282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243</v>
      </c>
      <c r="C4" s="64">
        <v>4</v>
      </c>
      <c r="D4" s="64" t="s">
        <v>435</v>
      </c>
      <c r="E4" s="69" t="s">
        <v>412</v>
      </c>
      <c r="F4" s="100">
        <v>-1</v>
      </c>
      <c r="G4" s="100" t="s">
        <v>440</v>
      </c>
      <c r="H4" s="38"/>
      <c r="I4" s="38"/>
      <c r="J4" s="98" t="s">
        <v>393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433</v>
      </c>
      <c r="E5" s="69" t="s">
        <v>413</v>
      </c>
      <c r="F5" s="100">
        <v>0</v>
      </c>
      <c r="G5" s="100" t="s">
        <v>439</v>
      </c>
      <c r="H5" s="38"/>
      <c r="I5" s="38"/>
      <c r="J5" s="98" t="s">
        <v>395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140</v>
      </c>
      <c r="C6" s="64">
        <v>1</v>
      </c>
      <c r="D6" s="64" t="s">
        <v>433</v>
      </c>
      <c r="E6" s="69" t="s">
        <v>414</v>
      </c>
      <c r="F6" s="100">
        <v>0</v>
      </c>
      <c r="G6" s="100" t="s">
        <v>436</v>
      </c>
      <c r="H6" s="38"/>
      <c r="I6" s="38"/>
      <c r="J6" s="98" t="s">
        <v>394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431</v>
      </c>
      <c r="E7" s="69" t="s">
        <v>415</v>
      </c>
      <c r="F7" s="100">
        <v>1</v>
      </c>
      <c r="G7" s="100" t="s">
        <v>434</v>
      </c>
      <c r="H7" s="38"/>
      <c r="I7" s="38"/>
      <c r="J7" s="98" t="s">
        <v>396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245</v>
      </c>
      <c r="C8" s="100">
        <v>0</v>
      </c>
      <c r="D8" s="100" t="s">
        <v>436</v>
      </c>
      <c r="E8" s="68" t="s">
        <v>416</v>
      </c>
      <c r="F8" s="64">
        <v>2</v>
      </c>
      <c r="G8" s="64" t="s">
        <v>431</v>
      </c>
      <c r="H8" s="38"/>
      <c r="I8" s="38"/>
      <c r="J8" s="98" t="s">
        <v>397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432</v>
      </c>
      <c r="E9" s="68" t="s">
        <v>417</v>
      </c>
      <c r="F9" s="64">
        <v>1</v>
      </c>
      <c r="G9" s="64" t="s">
        <v>433</v>
      </c>
      <c r="H9" s="38"/>
      <c r="I9" s="38"/>
      <c r="J9" s="98" t="s">
        <v>398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267</v>
      </c>
      <c r="C10" s="100">
        <v>1</v>
      </c>
      <c r="D10" s="100" t="s">
        <v>434</v>
      </c>
      <c r="E10" s="68" t="s">
        <v>418</v>
      </c>
      <c r="F10" s="64">
        <v>1</v>
      </c>
      <c r="G10" s="64" t="s">
        <v>438</v>
      </c>
      <c r="H10" s="38"/>
      <c r="I10" s="38"/>
      <c r="J10" s="98" t="s">
        <v>399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198</v>
      </c>
      <c r="C11" s="64">
        <v>2</v>
      </c>
      <c r="D11" s="64" t="s">
        <v>431</v>
      </c>
      <c r="E11" s="68" t="s">
        <v>419</v>
      </c>
      <c r="F11" s="64">
        <v>2</v>
      </c>
      <c r="G11" s="64" t="s">
        <v>431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420</v>
      </c>
      <c r="C12" s="100">
        <v>-2</v>
      </c>
      <c r="D12" s="100" t="s">
        <v>432</v>
      </c>
      <c r="E12" s="68" t="s">
        <v>421</v>
      </c>
      <c r="F12" s="64">
        <v>-1</v>
      </c>
      <c r="G12" s="64" t="s">
        <v>437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431</v>
      </c>
      <c r="E13" s="69" t="s">
        <v>422</v>
      </c>
      <c r="F13" s="100">
        <v>1</v>
      </c>
      <c r="G13" s="100" t="s">
        <v>433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441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198</v>
      </c>
      <c r="C16" s="64">
        <v>-1</v>
      </c>
      <c r="D16" s="64" t="s">
        <v>440</v>
      </c>
      <c r="E16" s="69" t="s">
        <v>419</v>
      </c>
      <c r="F16" s="100">
        <v>-1</v>
      </c>
      <c r="G16" s="100" t="s">
        <v>437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254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243</v>
      </c>
      <c r="C19" s="64">
        <v>0</v>
      </c>
      <c r="D19" s="64" t="s">
        <v>466</v>
      </c>
      <c r="E19" s="70" t="s">
        <v>222</v>
      </c>
      <c r="F19" s="100">
        <v>-1</v>
      </c>
      <c r="G19" s="100" t="s">
        <v>440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462</v>
      </c>
      <c r="E20" s="70" t="s">
        <v>416</v>
      </c>
      <c r="F20" s="100">
        <v>-2</v>
      </c>
      <c r="G20" s="100" t="s">
        <v>467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110</v>
      </c>
      <c r="B21" s="65" t="s">
        <v>140</v>
      </c>
      <c r="C21" s="64">
        <v>2</v>
      </c>
      <c r="D21" s="64" t="s">
        <v>464</v>
      </c>
      <c r="E21" s="70" t="s">
        <v>418</v>
      </c>
      <c r="F21" s="100">
        <v>0</v>
      </c>
      <c r="G21" s="100" t="s">
        <v>436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255</v>
      </c>
      <c r="B22" s="70" t="s">
        <v>53</v>
      </c>
      <c r="C22" s="100">
        <v>-3</v>
      </c>
      <c r="D22" s="100" t="s">
        <v>463</v>
      </c>
      <c r="E22" s="65" t="s">
        <v>198</v>
      </c>
      <c r="F22" s="64">
        <v>-1</v>
      </c>
      <c r="G22" s="64" t="s">
        <v>440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256</v>
      </c>
      <c r="B23" s="65" t="s">
        <v>447</v>
      </c>
      <c r="C23" s="64">
        <v>1</v>
      </c>
      <c r="D23" s="64" t="s">
        <v>465</v>
      </c>
      <c r="E23" s="70" t="s">
        <v>417</v>
      </c>
      <c r="F23" s="100">
        <v>-3</v>
      </c>
      <c r="G23" s="100" t="s">
        <v>463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257</v>
      </c>
      <c r="B24" s="65" t="s">
        <v>421</v>
      </c>
      <c r="C24" s="64">
        <v>3</v>
      </c>
      <c r="D24" s="64" t="s">
        <v>461</v>
      </c>
      <c r="E24" s="70" t="s">
        <v>448</v>
      </c>
      <c r="F24" s="100">
        <v>2</v>
      </c>
      <c r="G24" s="100" t="s">
        <v>431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258</v>
      </c>
      <c r="B25" s="65" t="s">
        <v>203</v>
      </c>
      <c r="C25" s="64">
        <v>0</v>
      </c>
      <c r="D25" s="64" t="s">
        <v>436</v>
      </c>
      <c r="E25" s="70" t="s">
        <v>449</v>
      </c>
      <c r="F25" s="100">
        <v>-1</v>
      </c>
      <c r="G25" s="100" t="s">
        <v>437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259</v>
      </c>
      <c r="B26" s="65" t="s">
        <v>31</v>
      </c>
      <c r="C26" s="64">
        <v>3</v>
      </c>
      <c r="D26" s="64" t="s">
        <v>461</v>
      </c>
      <c r="E26" s="70" t="s">
        <v>450</v>
      </c>
      <c r="F26" s="100">
        <v>2</v>
      </c>
      <c r="G26" s="100" t="s">
        <v>431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260</v>
      </c>
      <c r="B29" s="70" t="s">
        <v>140</v>
      </c>
      <c r="C29" s="100">
        <v>1</v>
      </c>
      <c r="D29" s="100" t="s">
        <v>433</v>
      </c>
      <c r="E29" s="65" t="s">
        <v>233</v>
      </c>
      <c r="F29" s="64">
        <v>1</v>
      </c>
      <c r="G29" s="64" t="s">
        <v>434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261</v>
      </c>
      <c r="B30" s="70" t="s">
        <v>34</v>
      </c>
      <c r="C30" s="100">
        <v>-2</v>
      </c>
      <c r="D30" s="100" t="s">
        <v>467</v>
      </c>
      <c r="E30" s="65" t="s">
        <v>31</v>
      </c>
      <c r="F30" s="64">
        <v>0</v>
      </c>
      <c r="G30" s="64" t="s">
        <v>462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262</v>
      </c>
      <c r="B31" s="70" t="s">
        <v>243</v>
      </c>
      <c r="C31" s="100">
        <v>-2</v>
      </c>
      <c r="D31" s="100" t="s">
        <v>467</v>
      </c>
      <c r="E31" s="65" t="s">
        <v>421</v>
      </c>
      <c r="F31" s="64">
        <v>1</v>
      </c>
      <c r="G31" s="64" t="s">
        <v>438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263</v>
      </c>
      <c r="B32" s="70" t="s">
        <v>198</v>
      </c>
      <c r="C32" s="100">
        <v>0</v>
      </c>
      <c r="D32" s="100" t="s">
        <v>466</v>
      </c>
      <c r="E32" s="65" t="s">
        <v>203</v>
      </c>
      <c r="F32" s="64">
        <v>0</v>
      </c>
      <c r="G32" s="64" t="s">
        <v>436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264</v>
      </c>
      <c r="B35" s="70" t="s">
        <v>421</v>
      </c>
      <c r="C35" s="100">
        <v>-1</v>
      </c>
      <c r="D35" s="100" t="s">
        <v>437</v>
      </c>
      <c r="E35" s="65" t="s">
        <v>203</v>
      </c>
      <c r="F35" s="64">
        <v>0</v>
      </c>
      <c r="G35" s="64" t="s">
        <v>466</v>
      </c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265</v>
      </c>
      <c r="B36" s="70" t="s">
        <v>31</v>
      </c>
      <c r="C36" s="100">
        <v>0</v>
      </c>
      <c r="D36" s="100" t="s">
        <v>490</v>
      </c>
      <c r="E36" s="65" t="s">
        <v>233</v>
      </c>
      <c r="F36" s="64">
        <v>4</v>
      </c>
      <c r="G36" s="64" t="s">
        <v>489</v>
      </c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442</v>
      </c>
      <c r="B39" s="65" t="s">
        <v>203</v>
      </c>
      <c r="C39" s="64">
        <v>5</v>
      </c>
      <c r="D39" s="64" t="s">
        <v>494</v>
      </c>
      <c r="E39" s="70" t="s">
        <v>233</v>
      </c>
      <c r="F39" s="100">
        <v>2</v>
      </c>
      <c r="G39" s="100" t="s">
        <v>464</v>
      </c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 t="s">
        <v>203</v>
      </c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11"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295</v>
      </c>
      <c r="C5" t="s">
        <v>316</v>
      </c>
      <c r="F5" t="s">
        <v>318</v>
      </c>
      <c r="G5" t="s">
        <v>316</v>
      </c>
      <c r="J5" s="67" t="s">
        <v>343</v>
      </c>
      <c r="K5" t="s">
        <v>316</v>
      </c>
      <c r="N5" s="67" t="s">
        <v>368</v>
      </c>
      <c r="O5" t="s">
        <v>316</v>
      </c>
    </row>
    <row r="6" spans="2:17" x14ac:dyDescent="0.3">
      <c r="B6" t="s">
        <v>296</v>
      </c>
      <c r="C6">
        <f>COUNTIF(Stats!D:D,'Player Count'!B6)</f>
        <v>11</v>
      </c>
      <c r="F6" t="s">
        <v>319</v>
      </c>
      <c r="G6">
        <f>COUNTIF(Stats!D:D,'Player Count'!F6)</f>
        <v>3</v>
      </c>
      <c r="J6" s="67" t="s">
        <v>362</v>
      </c>
      <c r="K6">
        <f>COUNTIF(Stats!D:D,'Player Count'!J6)</f>
        <v>2</v>
      </c>
      <c r="M6" s="109"/>
      <c r="N6" s="67" t="s">
        <v>369</v>
      </c>
      <c r="O6">
        <f>COUNTIF(Stats!D:D,'Player Count'!N6)</f>
        <v>0</v>
      </c>
      <c r="Q6" s="109"/>
    </row>
    <row r="7" spans="2:17" x14ac:dyDescent="0.3">
      <c r="B7" t="s">
        <v>297</v>
      </c>
      <c r="C7">
        <f>COUNTIF(Stats!D:D,'Player Count'!B7)</f>
        <v>4</v>
      </c>
      <c r="F7" t="s">
        <v>320</v>
      </c>
      <c r="G7">
        <f>COUNTIF(Stats!D:D,'Player Count'!F7)</f>
        <v>0</v>
      </c>
      <c r="J7" t="s">
        <v>344</v>
      </c>
      <c r="K7">
        <f>COUNTIF(Stats!D:D,'Player Count'!J7)</f>
        <v>1</v>
      </c>
      <c r="M7" s="109"/>
      <c r="N7" t="s">
        <v>370</v>
      </c>
      <c r="O7">
        <f>COUNTIF(Stats!D:D,'Player Count'!N7)</f>
        <v>1</v>
      </c>
      <c r="Q7" s="109"/>
    </row>
    <row r="8" spans="2:17" x14ac:dyDescent="0.3">
      <c r="B8" t="s">
        <v>298</v>
      </c>
      <c r="C8">
        <f>COUNTIF(Stats!D:D,'Player Count'!B8)</f>
        <v>2</v>
      </c>
      <c r="F8" t="s">
        <v>321</v>
      </c>
      <c r="G8">
        <f>COUNTIF(Stats!D:D,'Player Count'!F8)</f>
        <v>2</v>
      </c>
      <c r="J8" t="s">
        <v>345</v>
      </c>
      <c r="K8">
        <f>COUNTIF(Stats!D:D,'Player Count'!J8)</f>
        <v>3</v>
      </c>
      <c r="M8" s="109"/>
      <c r="N8" t="s">
        <v>371</v>
      </c>
      <c r="O8">
        <f>COUNTIF(Stats!D:D,'Player Count'!N8)</f>
        <v>1</v>
      </c>
      <c r="Q8" s="109"/>
    </row>
    <row r="9" spans="2:17" x14ac:dyDescent="0.3">
      <c r="B9" t="s">
        <v>299</v>
      </c>
      <c r="C9">
        <f>COUNTIF(Stats!D:D,'Player Count'!B9)</f>
        <v>3</v>
      </c>
      <c r="F9" t="s">
        <v>322</v>
      </c>
      <c r="G9">
        <f>COUNTIF(Stats!D:D,'Player Count'!F9)</f>
        <v>2</v>
      </c>
      <c r="J9" s="67" t="s">
        <v>363</v>
      </c>
      <c r="K9">
        <f>COUNTIF(Stats!D:D,'Player Count'!J9)</f>
        <v>4</v>
      </c>
      <c r="M9" s="109"/>
      <c r="N9" t="s">
        <v>372</v>
      </c>
      <c r="O9">
        <f>COUNTIF(Stats!D:D,'Player Count'!N9)</f>
        <v>1</v>
      </c>
      <c r="Q9" s="109"/>
    </row>
    <row r="10" spans="2:17" x14ac:dyDescent="0.3">
      <c r="B10" t="s">
        <v>300</v>
      </c>
      <c r="C10">
        <f>COUNTIF(Stats!D:D,'Player Count'!B10)</f>
        <v>2</v>
      </c>
      <c r="F10" t="s">
        <v>323</v>
      </c>
      <c r="G10">
        <f>COUNTIF(Stats!D:D,'Player Count'!F10)</f>
        <v>8</v>
      </c>
      <c r="J10" s="67" t="s">
        <v>346</v>
      </c>
      <c r="K10">
        <f>COUNTIF(Stats!D:D,'Player Count'!J10)</f>
        <v>2</v>
      </c>
      <c r="M10" s="109"/>
      <c r="N10" t="s">
        <v>373</v>
      </c>
      <c r="O10">
        <f>COUNTIF(Stats!D:D,'Player Count'!N10)</f>
        <v>3</v>
      </c>
      <c r="Q10" s="109"/>
    </row>
    <row r="11" spans="2:17" x14ac:dyDescent="0.3">
      <c r="B11" t="s">
        <v>301</v>
      </c>
      <c r="C11">
        <f>COUNTIF(Stats!D:D,'Player Count'!B11)</f>
        <v>1</v>
      </c>
      <c r="F11" t="s">
        <v>324</v>
      </c>
      <c r="G11">
        <f>COUNTIF(Stats!D:D,'Player Count'!F11)</f>
        <v>2</v>
      </c>
      <c r="J11" s="67" t="s">
        <v>364</v>
      </c>
      <c r="K11">
        <f>COUNTIF(Stats!D:D,'Player Count'!J11)</f>
        <v>1</v>
      </c>
      <c r="M11" s="109"/>
      <c r="N11" s="67" t="s">
        <v>374</v>
      </c>
      <c r="O11">
        <f>COUNTIF(Stats!D:D,'Player Count'!N11)</f>
        <v>1</v>
      </c>
      <c r="Q11" s="109"/>
    </row>
    <row r="12" spans="2:17" x14ac:dyDescent="0.3">
      <c r="B12" t="s">
        <v>302</v>
      </c>
      <c r="C12">
        <f>COUNTIF(Stats!D:D,'Player Count'!B12)</f>
        <v>5</v>
      </c>
      <c r="F12" t="s">
        <v>325</v>
      </c>
      <c r="G12">
        <f>COUNTIF(Stats!D:D,'Player Count'!F12)</f>
        <v>2</v>
      </c>
      <c r="J12" s="67" t="s">
        <v>347</v>
      </c>
      <c r="K12">
        <f>COUNTIF(Stats!D:D,'Player Count'!J12)</f>
        <v>3</v>
      </c>
      <c r="M12" s="109"/>
      <c r="N12" s="67" t="s">
        <v>375</v>
      </c>
      <c r="O12">
        <f>COUNTIF(Stats!D:D,'Player Count'!N12)</f>
        <v>0</v>
      </c>
      <c r="Q12" s="109"/>
    </row>
    <row r="13" spans="2:17" x14ac:dyDescent="0.3">
      <c r="B13" t="s">
        <v>303</v>
      </c>
      <c r="C13">
        <f>COUNTIF(Stats!D:D,'Player Count'!B13)</f>
        <v>7</v>
      </c>
      <c r="F13" t="s">
        <v>326</v>
      </c>
      <c r="G13">
        <f>COUNTIF(Stats!D:D,'Player Count'!F13)</f>
        <v>7</v>
      </c>
      <c r="J13" s="67" t="s">
        <v>348</v>
      </c>
      <c r="K13">
        <f>COUNTIF(Stats!D:D,'Player Count'!J13)</f>
        <v>2</v>
      </c>
      <c r="M13" s="109"/>
      <c r="N13" t="s">
        <v>376</v>
      </c>
      <c r="O13">
        <f>COUNTIF(Stats!D:D,'Player Count'!N13)</f>
        <v>3</v>
      </c>
      <c r="Q13" s="109"/>
    </row>
    <row r="14" spans="2:17" x14ac:dyDescent="0.3">
      <c r="B14" t="s">
        <v>304</v>
      </c>
      <c r="C14">
        <f>COUNTIF(Stats!D:D,'Player Count'!B14)</f>
        <v>2</v>
      </c>
      <c r="F14" t="s">
        <v>327</v>
      </c>
      <c r="G14">
        <f>COUNTIF(Stats!D:D,'Player Count'!F14)</f>
        <v>1</v>
      </c>
      <c r="J14" s="67" t="s">
        <v>349</v>
      </c>
      <c r="K14">
        <f>COUNTIF(Stats!D:D,'Player Count'!J14)</f>
        <v>2</v>
      </c>
      <c r="M14" s="109"/>
      <c r="N14" s="67" t="s">
        <v>377</v>
      </c>
      <c r="O14">
        <f>COUNTIF(Stats!D:D,'Player Count'!N14)</f>
        <v>1</v>
      </c>
      <c r="Q14" s="109"/>
    </row>
    <row r="15" spans="2:17" x14ac:dyDescent="0.3">
      <c r="B15" t="s">
        <v>305</v>
      </c>
      <c r="C15">
        <f>COUNTIF(Stats!D:D,'Player Count'!B15)</f>
        <v>2</v>
      </c>
      <c r="F15" t="s">
        <v>328</v>
      </c>
      <c r="G15">
        <f>COUNTIF(Stats!D:D,'Player Count'!F15)</f>
        <v>3</v>
      </c>
      <c r="J15" s="67" t="s">
        <v>350</v>
      </c>
      <c r="K15">
        <f>COUNTIF(Stats!D:D,'Player Count'!J15)</f>
        <v>1</v>
      </c>
      <c r="M15" s="109"/>
      <c r="N15" s="67" t="s">
        <v>378</v>
      </c>
      <c r="O15">
        <f>COUNTIF(Stats!D:D,'Player Count'!N15)</f>
        <v>0</v>
      </c>
      <c r="Q15" s="109"/>
    </row>
    <row r="16" spans="2:17" x14ac:dyDescent="0.3">
      <c r="B16" t="s">
        <v>306</v>
      </c>
      <c r="C16">
        <f>COUNTIF(Stats!D:D,'Player Count'!B16)</f>
        <v>4</v>
      </c>
      <c r="F16" t="s">
        <v>329</v>
      </c>
      <c r="G16">
        <f>COUNTIF(Stats!D:D,'Player Count'!F16)</f>
        <v>2</v>
      </c>
      <c r="J16" t="s">
        <v>351</v>
      </c>
      <c r="K16">
        <f>COUNTIF(Stats!D:D,'Player Count'!J16)</f>
        <v>2</v>
      </c>
      <c r="M16" s="109"/>
      <c r="N16" s="67" t="s">
        <v>379</v>
      </c>
      <c r="O16">
        <f>COUNTIF(Stats!D:D,'Player Count'!N16)</f>
        <v>3</v>
      </c>
      <c r="Q16" s="109"/>
    </row>
    <row r="17" spans="2:17" x14ac:dyDescent="0.3">
      <c r="B17" t="s">
        <v>307</v>
      </c>
      <c r="C17">
        <f>COUNTIF(Stats!D:D,'Player Count'!B17)</f>
        <v>9</v>
      </c>
      <c r="F17" t="s">
        <v>330</v>
      </c>
      <c r="G17">
        <f>COUNTIF(Stats!D:D,'Player Count'!F17)</f>
        <v>5</v>
      </c>
      <c r="J17" s="67" t="s">
        <v>352</v>
      </c>
      <c r="K17">
        <f>COUNTIF(Stats!D:D,'Player Count'!J17)</f>
        <v>4</v>
      </c>
      <c r="M17" s="109"/>
      <c r="N17" s="67" t="s">
        <v>380</v>
      </c>
      <c r="O17">
        <f>COUNTIF(Stats!D:D,'Player Count'!N17)</f>
        <v>1</v>
      </c>
      <c r="Q17" s="109"/>
    </row>
    <row r="18" spans="2:17" x14ac:dyDescent="0.3">
      <c r="B18" t="s">
        <v>308</v>
      </c>
      <c r="C18">
        <f>COUNTIF(Stats!D:D,'Player Count'!B18)</f>
        <v>11</v>
      </c>
      <c r="F18" t="s">
        <v>331</v>
      </c>
      <c r="G18">
        <f>COUNTIF(Stats!D:D,'Player Count'!F18)</f>
        <v>2</v>
      </c>
      <c r="J18" s="67" t="s">
        <v>353</v>
      </c>
      <c r="K18">
        <f>COUNTIF(Stats!D:D,'Player Count'!J18)</f>
        <v>4</v>
      </c>
      <c r="M18" s="109"/>
      <c r="N18" t="s">
        <v>381</v>
      </c>
      <c r="O18">
        <f>COUNTIF(Stats!D:D,'Player Count'!N18)</f>
        <v>1</v>
      </c>
      <c r="Q18" s="109"/>
    </row>
    <row r="19" spans="2:17" x14ac:dyDescent="0.3">
      <c r="B19" t="s">
        <v>309</v>
      </c>
      <c r="C19">
        <f>COUNTIF(Stats!D:D,'Player Count'!B19)</f>
        <v>7</v>
      </c>
      <c r="F19" t="s">
        <v>332</v>
      </c>
      <c r="G19">
        <f>COUNTIF(Stats!D:D,'Player Count'!F19)</f>
        <v>1</v>
      </c>
      <c r="J19" s="67" t="s">
        <v>354</v>
      </c>
      <c r="K19">
        <f>COUNTIF(Stats!D:D,'Player Count'!J19)</f>
        <v>0</v>
      </c>
      <c r="M19" s="109"/>
      <c r="N19" s="67" t="s">
        <v>391</v>
      </c>
      <c r="O19">
        <f>COUNTIF(Stats!D:D,'Player Count'!N19)</f>
        <v>2</v>
      </c>
      <c r="Q19" s="109"/>
    </row>
    <row r="20" spans="2:17" x14ac:dyDescent="0.3">
      <c r="B20" t="s">
        <v>310</v>
      </c>
      <c r="C20">
        <f>COUNTIF(Stats!D:D,'Player Count'!B20)</f>
        <v>3</v>
      </c>
      <c r="F20" t="s">
        <v>333</v>
      </c>
      <c r="G20">
        <f>COUNTIF(Stats!D:D,'Player Count'!F20)</f>
        <v>1</v>
      </c>
      <c r="J20" s="67" t="s">
        <v>365</v>
      </c>
      <c r="K20">
        <f>COUNTIF(Stats!D:D,'Player Count'!J20)</f>
        <v>0</v>
      </c>
      <c r="M20" s="109"/>
      <c r="N20" s="67" t="s">
        <v>382</v>
      </c>
      <c r="O20">
        <f>COUNTIF(Stats!D:D,'Player Count'!N20)</f>
        <v>0</v>
      </c>
      <c r="Q20" s="109"/>
    </row>
    <row r="21" spans="2:17" x14ac:dyDescent="0.3">
      <c r="B21" t="s">
        <v>311</v>
      </c>
      <c r="C21">
        <f>COUNTIF(Stats!D:D,'Player Count'!B21)</f>
        <v>3</v>
      </c>
      <c r="F21" t="s">
        <v>334</v>
      </c>
      <c r="G21">
        <f>COUNTIF(Stats!D:D,'Player Count'!F21)</f>
        <v>0</v>
      </c>
      <c r="J21" s="67" t="s">
        <v>355</v>
      </c>
      <c r="K21">
        <f>COUNTIF(Stats!D:D,'Player Count'!J21)</f>
        <v>2</v>
      </c>
      <c r="M21" s="109"/>
      <c r="N21" t="s">
        <v>383</v>
      </c>
      <c r="O21">
        <f>COUNTIF(Stats!D:D,'Player Count'!N21)</f>
        <v>6</v>
      </c>
      <c r="Q21" s="109"/>
    </row>
    <row r="22" spans="2:17" x14ac:dyDescent="0.3">
      <c r="B22" t="s">
        <v>312</v>
      </c>
      <c r="C22">
        <f>COUNTIF(Stats!D:D,'Player Count'!B22)</f>
        <v>0</v>
      </c>
      <c r="F22" t="s">
        <v>335</v>
      </c>
      <c r="G22">
        <f>COUNTIF(Stats!D:D,'Player Count'!F22)</f>
        <v>7</v>
      </c>
      <c r="J22" s="67" t="s">
        <v>356</v>
      </c>
      <c r="K22">
        <f>COUNTIF(Stats!D:D,'Player Count'!J22)</f>
        <v>2</v>
      </c>
      <c r="M22" s="109"/>
      <c r="N22" s="67" t="s">
        <v>384</v>
      </c>
      <c r="O22">
        <f>COUNTIF(Stats!D:D,'Player Count'!N22)</f>
        <v>0</v>
      </c>
      <c r="Q22" s="109"/>
    </row>
    <row r="23" spans="2:17" x14ac:dyDescent="0.3">
      <c r="B23" t="s">
        <v>313</v>
      </c>
      <c r="C23">
        <f>COUNTIF(Stats!D:D,'Player Count'!B23)</f>
        <v>8</v>
      </c>
      <c r="F23" t="s">
        <v>336</v>
      </c>
      <c r="G23">
        <f>COUNTIF(Stats!D:D,'Player Count'!F23)</f>
        <v>0</v>
      </c>
      <c r="J23" t="s">
        <v>357</v>
      </c>
      <c r="K23">
        <f>COUNTIF(Stats!D:D,'Player Count'!J23)</f>
        <v>1</v>
      </c>
      <c r="M23" s="109"/>
      <c r="N23" t="s">
        <v>385</v>
      </c>
      <c r="O23">
        <f>COUNTIF(Stats!D:D,'Player Count'!N23)</f>
        <v>3</v>
      </c>
      <c r="Q23" s="109"/>
    </row>
    <row r="24" spans="2:17" x14ac:dyDescent="0.3">
      <c r="B24" t="s">
        <v>314</v>
      </c>
      <c r="C24">
        <f>COUNTIF(Stats!D:D,'Player Count'!B24)</f>
        <v>2</v>
      </c>
      <c r="F24" t="s">
        <v>337</v>
      </c>
      <c r="G24">
        <f>COUNTIF(Stats!D:D,'Player Count'!F24)</f>
        <v>1</v>
      </c>
      <c r="J24" t="s">
        <v>358</v>
      </c>
      <c r="K24">
        <f>COUNTIF(Stats!D:D,'Player Count'!J24)</f>
        <v>2</v>
      </c>
      <c r="M24" s="109"/>
      <c r="N24" s="67" t="s">
        <v>386</v>
      </c>
      <c r="O24">
        <f>COUNTIF(Stats!D:D,'Player Count'!N24)</f>
        <v>4</v>
      </c>
      <c r="Q24" s="109"/>
    </row>
    <row r="25" spans="2:17" x14ac:dyDescent="0.3">
      <c r="B25" t="s">
        <v>315</v>
      </c>
      <c r="C25">
        <f>COUNTIF(Stats!D:D,'Player Count'!B25)</f>
        <v>3</v>
      </c>
      <c r="F25" t="s">
        <v>338</v>
      </c>
      <c r="G25">
        <f>COUNTIF(Stats!D:D,'Player Count'!F25)</f>
        <v>2</v>
      </c>
      <c r="J25" s="67" t="s">
        <v>359</v>
      </c>
      <c r="K25">
        <f>COUNTIF(Stats!D:D,'Player Count'!J25)</f>
        <v>1</v>
      </c>
      <c r="M25" s="109"/>
      <c r="N25" s="67" t="s">
        <v>387</v>
      </c>
      <c r="O25">
        <f>COUNTIF(Stats!D:D,'Player Count'!N25)</f>
        <v>3</v>
      </c>
      <c r="Q25" s="109"/>
    </row>
    <row r="26" spans="2:17" x14ac:dyDescent="0.3">
      <c r="B26" s="78" t="s">
        <v>317</v>
      </c>
      <c r="C26" s="78">
        <f>SUM(C6:C25)</f>
        <v>89</v>
      </c>
      <c r="F26" t="s">
        <v>339</v>
      </c>
      <c r="G26">
        <f>COUNTIF(Stats!D:D,'Player Count'!F26)</f>
        <v>2</v>
      </c>
      <c r="J26" t="s">
        <v>360</v>
      </c>
      <c r="K26">
        <f>COUNTIF(Stats!D:D,'Player Count'!J26)</f>
        <v>3</v>
      </c>
      <c r="M26" s="109"/>
      <c r="N26" s="67" t="s">
        <v>388</v>
      </c>
      <c r="O26">
        <f>COUNTIF(Stats!D:D,'Player Count'!N26)</f>
        <v>0</v>
      </c>
      <c r="Q26" s="109"/>
    </row>
    <row r="27" spans="2:17" x14ac:dyDescent="0.3">
      <c r="F27" t="s">
        <v>340</v>
      </c>
      <c r="G27">
        <f>COUNTIF(Stats!D:D,'Player Count'!F27)</f>
        <v>2</v>
      </c>
      <c r="J27" s="67" t="s">
        <v>366</v>
      </c>
      <c r="K27">
        <f>COUNTIF(Stats!D:D,'Player Count'!J27)</f>
        <v>5</v>
      </c>
      <c r="M27" s="109"/>
      <c r="N27" s="67" t="s">
        <v>389</v>
      </c>
      <c r="O27">
        <f>COUNTIF(Stats!D:D,'Player Count'!N27)</f>
        <v>3</v>
      </c>
      <c r="Q27" s="109"/>
    </row>
    <row r="28" spans="2:17" x14ac:dyDescent="0.3">
      <c r="F28" t="s">
        <v>341</v>
      </c>
      <c r="G28">
        <f>COUNTIF(Stats!D:D,'Player Count'!F28)</f>
        <v>4</v>
      </c>
      <c r="J28" s="67" t="s">
        <v>361</v>
      </c>
      <c r="K28">
        <f>COUNTIF(Stats!D:D,'Player Count'!J28)</f>
        <v>3</v>
      </c>
      <c r="M28" s="109"/>
      <c r="N28" s="67" t="s">
        <v>392</v>
      </c>
      <c r="O28">
        <f>COUNTIF(Stats!D:D,'Player Count'!N28)</f>
        <v>1</v>
      </c>
      <c r="Q28" s="109"/>
    </row>
    <row r="29" spans="2:17" x14ac:dyDescent="0.3">
      <c r="F29" t="s">
        <v>342</v>
      </c>
      <c r="G29">
        <f>COUNTIF(Stats!D:D,'Player Count'!F29)</f>
        <v>6</v>
      </c>
      <c r="J29" s="67" t="s">
        <v>367</v>
      </c>
      <c r="K29">
        <f>COUNTIF(Stats!D:D,'Player Count'!J29)</f>
        <v>4</v>
      </c>
      <c r="N29" t="s">
        <v>390</v>
      </c>
      <c r="O29">
        <f>COUNTIF(Stats!D:D,'Player Count'!N29)</f>
        <v>2</v>
      </c>
    </row>
    <row r="30" spans="2:17" x14ac:dyDescent="0.3">
      <c r="F30" s="78" t="s">
        <v>317</v>
      </c>
      <c r="G30" s="78">
        <f>SUM(G6:G29)</f>
        <v>65</v>
      </c>
      <c r="J30" s="78" t="s">
        <v>317</v>
      </c>
      <c r="K30" s="78">
        <f>SUM(K6:K29)</f>
        <v>54</v>
      </c>
      <c r="N30" s="78" t="s">
        <v>317</v>
      </c>
      <c r="O30" s="78">
        <f>SUM(O6:O29)</f>
        <v>40</v>
      </c>
    </row>
    <row r="38" spans="1:15" x14ac:dyDescent="0.3">
      <c r="A38" s="67" t="s">
        <v>423</v>
      </c>
      <c r="C38" s="114">
        <f>C26/SUM(C26,G30,K30,O30)</f>
        <v>0.3588709677419355</v>
      </c>
      <c r="D38" s="114"/>
      <c r="E38" s="114"/>
      <c r="F38" s="114"/>
      <c r="G38" s="114">
        <f>G30/SUM(C26,G30,K30,O30)</f>
        <v>0.26209677419354838</v>
      </c>
      <c r="H38" s="114"/>
      <c r="I38" s="114"/>
      <c r="J38" s="114"/>
      <c r="K38" s="114">
        <f>K30/SUM(C26,G30,K30,O30)</f>
        <v>0.21774193548387097</v>
      </c>
      <c r="L38" s="114"/>
      <c r="M38" s="114"/>
      <c r="N38" s="114"/>
      <c r="O38" s="114">
        <f>O30/SUM(C26,G30,K30,O30)</f>
        <v>0.16129032258064516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2026-04-07T12:38:34Z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