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588" documentId="8_{C787F6C9-6D19-48E2-96AB-9D578E0B907B}" xr6:coauthVersionLast="47" xr6:coauthVersionMax="47" xr10:uidLastSave="{5A70F053-0421-421B-9B6E-466BCB556639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<sst xmlns="http://schemas.openxmlformats.org/spreadsheetml/2006/main" count="1427" uniqueCount="550">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</sst>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H33" sqref="H33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61</v>
      </c>
      <c r="O5" s="20">
        <f>SUM(F5:F7)</f>
        <v>35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3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30</v>
      </c>
      <c r="N6" s="26">
        <f>SUM(F35:F52)</f>
        <v>82</v>
      </c>
      <c r="O6" s="27">
        <f>SUM(F32:F34)</f>
        <v>52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35</v>
      </c>
      <c r="N7" s="26">
        <f>SUM(F62:F79)</f>
        <v>73</v>
      </c>
      <c r="O7" s="27">
        <f>SUM(F59:F61)</f>
        <v>38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35</v>
      </c>
      <c r="N8" s="26">
        <f>SUM(F89:F106)</f>
        <v>82</v>
      </c>
      <c r="O8" s="27">
        <f>SUM(F86:F88)</f>
        <v>47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32</v>
      </c>
      <c r="N9" s="73">
        <f>SUM(F116:F133)</f>
        <v>78</v>
      </c>
      <c r="O9" s="74">
        <f>SUM(F113:F115)</f>
        <v>46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35</v>
      </c>
      <c r="N10" s="26">
        <f>SUM(F143:F160)</f>
        <v>90</v>
      </c>
      <c r="O10" s="27">
        <f>SUM(F140:F142)</f>
        <v>55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2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11</v>
      </c>
      <c r="N11" s="26">
        <f>SUM(F170:F187)</f>
        <v>58</v>
      </c>
      <c r="O11" s="27">
        <f>SUM(F167:F169)</f>
        <v>47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9</v>
      </c>
      <c r="N12" s="73">
        <f>SUM(F197:F214)</f>
        <v>56</v>
      </c>
      <c r="O12" s="74">
        <f>SUM(F194:F196)</f>
        <v>47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9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27</v>
      </c>
      <c r="N13" s="73">
        <f>SUM(F224:F241)</f>
        <v>88</v>
      </c>
      <c r="O13" s="74">
        <f>SUM(F221:F223)</f>
        <v>61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7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14</v>
      </c>
      <c r="N14" s="73">
        <f>SUM(F251:F268)</f>
        <v>75</v>
      </c>
      <c r="O14" s="74">
        <f>SUM(F248:F250)</f>
        <v>61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13</v>
      </c>
      <c r="N15" s="26">
        <f>SUM(F278:F295)</f>
        <v>67</v>
      </c>
      <c r="O15" s="27">
        <f>SUM(F275:F277)</f>
        <v>54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36</v>
      </c>
      <c r="N16" s="26">
        <f>SUM(F305:F322)</f>
        <v>89</v>
      </c>
      <c r="O16" s="27">
        <f>SUM(F302:F304)</f>
        <v>53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7</v>
      </c>
      <c r="N17" s="26">
        <f>SUM(F332:F349)</f>
        <v>53</v>
      </c>
      <c r="O17" s="27">
        <f>SUM(F329:F331)</f>
        <v>46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14</v>
      </c>
      <c r="N18" s="26">
        <f>SUM(F359:F376)</f>
        <v>61</v>
      </c>
      <c r="O18" s="27">
        <f>SUM(F356:F358)</f>
        <v>47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13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15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15" t="s">
        <v>13</v>
      </c>
      <c r="C33" s="115"/>
      <c r="D33" s="115" t="s">
        <v>85</v>
      </c>
      <c r="E33" s="116" t="s">
        <v>284</v>
      </c>
      <c r="F33" s="115">
        <v>6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8" t="s">
        <v>13</v>
      </c>
      <c r="C34" s="21"/>
      <c r="D34" s="21" t="s">
        <v>138</v>
      </c>
      <c r="E34" s="22" t="s">
        <v>284</v>
      </c>
      <c r="F34" s="21">
        <v>2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5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10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10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15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1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7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6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6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30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8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17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3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7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3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35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47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9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2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17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1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6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35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46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1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5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17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7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32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35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10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6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5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6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1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18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0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35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33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1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10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4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8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5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47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12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8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9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28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4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16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16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27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10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10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2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9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0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10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15</v>
      </c>
      <c r="G262" s="87">
        <v>45946</v>
      </c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16</v>
      </c>
      <c r="G264" s="87">
        <v>45953</v>
      </c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0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14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15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6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13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13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33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4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10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4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30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4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0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14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36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46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2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10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7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47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3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9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2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14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1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7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14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B6" sqref="B6:G20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233</v>
      </c>
      <c r="E7" s="25">
        <v>36</v>
      </c>
      <c r="F7" s="56">
        <v>89</v>
      </c>
      <c r="G7" s="57">
        <v>53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35</v>
      </c>
      <c r="F8" s="26">
        <v>90</v>
      </c>
      <c r="G8" s="27">
        <v>55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27</v>
      </c>
      <c r="D9" s="24" t="s">
        <v>15</v>
      </c>
      <c r="E9" s="25">
        <v>35</v>
      </c>
      <c r="F9" s="26">
        <v>82</v>
      </c>
      <c r="G9" s="27">
        <v>47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24" t="s">
        <v>198</v>
      </c>
      <c r="E10" s="25">
        <v>35</v>
      </c>
      <c r="F10" s="26">
        <v>73</v>
      </c>
      <c r="G10" s="27">
        <v>38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24" t="s">
        <v>203</v>
      </c>
      <c r="E11" s="25">
        <v>32</v>
      </c>
      <c r="F11" s="26">
        <v>78</v>
      </c>
      <c r="G11" s="27">
        <v>46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21</v>
      </c>
      <c r="D12" s="55" t="s">
        <v>188</v>
      </c>
      <c r="E12" s="25">
        <v>30</v>
      </c>
      <c r="F12" s="26">
        <v>82</v>
      </c>
      <c r="G12" s="27">
        <v>52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24" t="s">
        <v>267</v>
      </c>
      <c r="E13" s="25">
        <v>27</v>
      </c>
      <c r="F13" s="26">
        <v>88</v>
      </c>
      <c r="G13" s="27">
        <v>61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</v>
      </c>
      <c r="D14" s="24" t="s">
        <v>1</v>
      </c>
      <c r="E14" s="25">
        <v>26</v>
      </c>
      <c r="F14" s="26">
        <v>61</v>
      </c>
      <c r="G14" s="27">
        <v>35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55</v>
      </c>
      <c r="D15" s="24" t="s">
        <v>222</v>
      </c>
      <c r="E15" s="25">
        <v>14</v>
      </c>
      <c r="F15" s="26">
        <v>75</v>
      </c>
      <c r="G15" s="27">
        <v>61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55" t="s">
        <v>245</v>
      </c>
      <c r="E16" s="25">
        <v>14</v>
      </c>
      <c r="F16" s="56">
        <v>61</v>
      </c>
      <c r="G16" s="57">
        <v>47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117</v>
      </c>
      <c r="D17" s="55" t="s">
        <v>140</v>
      </c>
      <c r="E17" s="25">
        <v>13</v>
      </c>
      <c r="F17" s="26">
        <v>67</v>
      </c>
      <c r="G17" s="27">
        <v>54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55" t="s">
        <v>34</v>
      </c>
      <c r="E18" s="25">
        <v>11</v>
      </c>
      <c r="F18" s="56">
        <v>58</v>
      </c>
      <c r="G18" s="57">
        <v>47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52</v>
      </c>
      <c r="D19" s="24" t="s">
        <v>53</v>
      </c>
      <c r="E19" s="25">
        <v>9</v>
      </c>
      <c r="F19" s="26">
        <v>56</v>
      </c>
      <c r="G19" s="27">
        <v>47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66</v>
      </c>
      <c r="D20" s="24" t="s">
        <v>243</v>
      </c>
      <c r="E20" s="25">
        <v>7</v>
      </c>
      <c r="F20" s="26">
        <v>53</v>
      </c>
      <c r="G20" s="27">
        <v>46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J25" sqref="J25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8"/>
      <c r="D31" s="64"/>
      <c r="E31" s="65" t="s">
        <v>1</v>
      </c>
      <c r="F31" s="69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33" workbookViewId="0">
      <selection activeCell="D30" sqref="D3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1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4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89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54</v>
      </c>
      <c r="N30" s="78" t="s">
        <v>317</v>
      </c>
      <c r="O30" s="78">
        <f>SUM(O6:O29)</f>
        <v>40</v>
      </c>
    </row>
    <row r="38" spans="1:15" x14ac:dyDescent="0.3">
      <c r="A38" s="67" t="s">
        <v>423</v>
      </c>
      <c r="C38" s="114">
        <f>C26/SUM(C26,G30,K30,O30)</f>
        <v>0.3588709677419355</v>
      </c>
      <c r="D38" s="114"/>
      <c r="E38" s="114"/>
      <c r="F38" s="114"/>
      <c r="G38" s="114">
        <f>G30/SUM(C26,G30,K30,O30)</f>
        <v>0.26209677419354838</v>
      </c>
      <c r="H38" s="114"/>
      <c r="I38" s="114"/>
      <c r="J38" s="114"/>
      <c r="K38" s="114">
        <f>K30/SUM(C26,G30,K30,O30)</f>
        <v>0.21774193548387097</v>
      </c>
      <c r="L38" s="114"/>
      <c r="M38" s="114"/>
      <c r="N38" s="114"/>
      <c r="O38" s="114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2026-03-30T16:29:32Z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