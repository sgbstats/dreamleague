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80010008\git\dreamleague\data\"/>
    </mc:Choice>
  </mc:AlternateContent>
  <xr:revisionPtr revIDLastSave="0" documentId="13_ncr:1_{3CF4598B-47B9-4EE7-8DD7-5378FEB61E35}" xr6:coauthVersionLast="47" xr6:coauthVersionMax="47" xr10:uidLastSave="{00000000-0000-0000-0000-000000000000}"/>
  <bookViews>
    <workbookView xWindow="25017" yWindow="-118" windowWidth="25370" windowHeight="13667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</sheets>
  <definedNames>
    <definedName name="_xlnm._FilterDatabase" localSheetId="1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<sst xmlns="http://schemas.openxmlformats.org/spreadsheetml/2006/main" count="1430" uniqueCount="550">
  <si>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</si>
  <si>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</si>
  <si>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</si>
  <si>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</si>
  <si>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</si>
  <si>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</si>
  <si>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</si>
  <si>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</si>
  <si>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</si>
  <si>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</si>
  <si>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</si>
  <si>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</si>
  <si>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</si>
  <si>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</si>
  <si>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</si>
  <si>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</si>
  <si>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</si>
  <si>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</si>
  <si>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</si>
  <si>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</si>
  <si>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</si>
  <si>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</si>
  <si>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</si>
  <si>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</si>
  <si>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</si>
  <si>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</si>
  <si>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</si>
  <si>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</si>
  <si>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</si>
  <si>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</si>
  <si>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</si>
  <si>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</si>
  <si>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</si>
  <si>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</si>
  <si>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</si>
  <si>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</si>
  <si>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</si>
  <si>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</si>
  <si>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</si>
  <si>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</si>
  <si>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</si>
  <si>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</si>
  <si>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</si>
  <si>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</si>
  <si>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</si>
  <si>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</si>
  <si>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</si>
  <si>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</si>
  <si>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</si>
  <si>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</si>
  <si>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</si>
  <si>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</si>
  <si>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</si>
  <si>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</si>
  <si>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</si>
  <si>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</si>
  <si>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</si>
  <si>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</si>
  <si>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</si>
  <si>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</si>
  <si>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</si>
  <si>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</si>
  <si>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</si>
  <si>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</si>
  <si>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</si>
  <si>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</si>
  <si>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</si>
  <si>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</si>
  <si>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</si>
  <si>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</si>
  <si>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</si>
  <si>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</si>
  <si>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</si>
  <si>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</si>
  <si>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</si>
  <si>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</si>
  <si>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</si>
  <si>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</si>
  <si>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</si>
  <si>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</si>
  <si>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</si>
  <si>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</si>
  <si>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</si>
  <si>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</si>
  <si>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</si>
  <si>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</si>
  <si>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</si>
  <si>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</si>
  <si>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</si>
  <si>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</si>
  <si>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</si>
  <si>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</si>
  <si>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</si>
  <si>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</si>
  <si>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</si>
  <si>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</si>
  <si>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</si>
  <si>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</si>
  <si>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</si>
  <si>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</si>
  <si>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</si>
  <si>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</si>
  <si>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</si>
  <si>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</si>
  <si>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</si>
  <si>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</si>
  <si>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</si>
  <si>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</si>
  <si>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</si>
  <si>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</si>
  <si>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</si>
  <si>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</si>
  <si>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</si>
  <si>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</si>
  <si>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</si>
  <si>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</si>
  <si>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</si>
  <si>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</si>
  <si>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</si>
  <si>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</si>
  <si>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</si>
  <si>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</si>
  <si>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</si>
  <si>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</si>
  <si>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</si>
  <si>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</si>
  <si>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</si>
  <si>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</si>
  <si>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</si>
  <si>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</si>
  <si>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</si>
  <si>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</si>
  <si>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</si>
  <si>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</si>
  <si>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</si>
  <si>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</si>
  <si>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</si>
  <si>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</si>
  <si>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</si>
  <si>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</si>
  <si>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</si>
  <si>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</si>
  <si>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</si>
  <si>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</si>
  <si>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</si>
  <si>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</si>
  <si>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</si>
  <si>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</si>
  <si>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</si>
  <si>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</si>
  <si>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</si>
  <si>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</si>
  <si>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</si>
  <si>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</si>
  <si>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</si>
  <si>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</si>
  <si>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</si>
  <si>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</si>
  <si>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</si>
  <si>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</si>
  <si>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</si>
  <si>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</si>
  <si>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</si>
  <si>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</si>
  <si>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</si>
  <si>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</si>
  <si>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</si>
  <si>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</si>
  <si>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</si>
  <si>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</si>
  <si>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</si>
  <si>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</si>
  <si>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</si>
  <si>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</si>
  <si>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</si>
  <si>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</si>
  <si>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</si>
  <si>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</si>
  <si>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</si>
  <si>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</si>
  <si>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</si>
  <si>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</si>
  <si>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</si>
  <si>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</si>
  <si>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</si>
  <si>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</si>
  <si>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</si>
  <si>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</si>
  <si>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</si>
  <si>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</si>
  <si>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</si>
  <si>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</si>
  <si>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</si>
  <si>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</si>
  <si>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</si>
  <si>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</si>
  <si>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</si>
  <si>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</si>
  <si>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</si>
  <si>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</si>
  <si>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</si>
  <si>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</si>
  <si>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</si>
  <si>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</si>
  <si>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</si>
  <si>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</si>
  <si>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</si>
  <si>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</si>
  <si>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</si>
  <si>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</si>
  <si>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</si>
  <si>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</si>
  <si>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</si>
  <si>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</si>
  <si>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</si>
  <si>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</si>
  <si>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</si>
  <si>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</si>
  <si>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</si>
  <si>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</si>
  <si>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</si>
  <si>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</si>
  <si>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</si>
  <si>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</si>
  <si>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</si>
  <si>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</si>
  <si>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</si>
  <si>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</si>
  <si>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</si>
  <si>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</si>
  <si>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</si>
  <si>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</si>
  <si>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</si>
  <si>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</si>
  <si>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</si>
  <si>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</si>
  <si>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</si>
  <si>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</si>
  <si>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</si>
  <si>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</si>
  <si>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</si>
  <si>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</si>
  <si>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</si>
  <si>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</si>
  <si>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</si>
  <si>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</si>
  <si>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</si>
  <si>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</si>
  <si>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</si>
  <si>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</si>
  <si>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</si>
  <si>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</si>
  <si>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</si>
  <si>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</si>
  <si>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</si>
  <si>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</si>
  <si>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</si>
  <si>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</si>
  <si>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</si>
  <si>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</si>
  <si>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</si>
  <si>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</si>
  <si>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</si>
  <si>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</si>
  <si>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</si>
  <si>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</si>
  <si>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</si>
  <si>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</si>
  <si>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</si>
  <si>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</si>
  <si>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</si>
  <si>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</si>
  <si>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</si>
  <si>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</si>
  <si>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</si>
  <si>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</si>
  <si>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</si>
  <si>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</si>
  <si>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</si>
  <si>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</si>
  <si>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</si>
  <si>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</si>
  <si>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</si>
  <si>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</si>
  <si>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</si>
  <si>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</si>
  <si>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</si>
  <si>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</si>
  <si>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</si>
  <si>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</si>
  <si>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</si>
  <si>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</si>
  <si>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</si>
  <si>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</si>
  <si>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</si>
  <si>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</si>
  <si>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</si>
  <si>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</si>
  <si>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</si>
  <si>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</si>
  <si>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</si>
  <si>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</si>
  <si>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</si>
  <si>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</si>
  <si>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</si>
  <si>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</si>
  <si>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</si>
  <si>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</si>
  <si>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</si>
  <si>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</si>
  <si>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</si>
  <si>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</si>
  <si>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</si>
  <si>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</si>
  <si>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</si>
  <si>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</si>
  <si>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</si>
  <si>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</si>
  <si>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</si>
  <si>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</si>
  <si>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</si>
  <si>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</si>
  <si>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</si>
  <si>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</si>
  <si>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</si>
  <si>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</si>
  <si>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</si>
  <si>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</si>
  <si>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</si>
  <si>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</si>
  <si>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</si>
  <si>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</si>
  <si>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</si>
  <si>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</si>
  <si>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</si>
  <si>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</si>
  <si>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</si>
  <si>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</si>
  <si>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</si>
  <si>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</si>
  <si>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</si>
  <si>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</si>
  <si>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</si>
  <si>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</si>
  <si>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</si>
  <si>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</si>
  <si>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</si>
  <si>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</si>
  <si>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</si>
  <si>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</si>
  <si>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</si>
  <si>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</si>
  <si>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</si>
  <si>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</si>
  <si>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</si>
  <si>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</si>
  <si>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</si>
  <si>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</si>
  <si>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</si>
  <si>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</si>
  <si>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</si>
  <si>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</si>
  <si>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</si>
  <si>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</si>
  <si>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</si>
  <si>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</si>
  <si>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</si>
  <si>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</si>
  <si>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</si>
  <si>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</si>
  <si>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</si>
  <si>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</si>
  <si>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</si>
  <si>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</si>
  <si>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</si>
  <si>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</si>
  <si>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</si>
  <si>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</si>
  <si>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</si>
  <si>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</si>
  <si>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</si>
  <si>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</si>
  <si>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</si>
  <si>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</si>
  <si>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</si>
  <si>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</si>
  <si>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</si>
  <si>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</si>
  <si>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</si>
  <si>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</si>
  <si>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</si>
  <si>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</si>
  <si>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</si>
  <si>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</si>
  <si>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</si>
  <si>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</si>
  <si>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</si>
  <si>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</si>
  <si>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</si>
  <si>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</si>
  <si>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</si>
  <si>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</si>
  <si>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</si>
  <si>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</si>
  <si>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</si>
  <si>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</si>
  <si>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</si>
  <si>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</si>
  <si>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</si>
  <si>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</si>
  <si>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</si>
  <si>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</si>
  <si>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</si>
  <si>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</si>
  <si>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</si>
  <si>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</si>
  <si>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</si>
  <si>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</si>
  <si>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</si>
  <si>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</si>
  <si>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</si>
  <si>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</si>
  <si>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</si>
  <si>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</si>
  <si>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</si>
  <si>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</si>
  <si>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</si>
  <si>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</si>
  <si>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</si>
  <si>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</si>
  <si>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</si>
  <si>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</si>
  <si>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</si>
  <si>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</si>
  <si>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</si>
  <si>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</si>
  <si>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</si>
  <si>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</si>
  <si>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</si>
  <si>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</si>
  <si>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</si>
  <si>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</si>
  <si>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</si>
  <si>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</si>
  <si>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</si>
  <si>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</si>
  <si>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</si>
  <si>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</si>
  <si>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</si>
  <si>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</si>
  <si>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</si>
  <si>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</si>
  <si>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</si>
  <si>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</si>
  <si>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</si>
  <si>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</si>
  <si>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</si>
  <si>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</si>
  <si>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</si>
  <si>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</si>
  <si>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</si>
  <si>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</si>
  <si>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</si>
  <si>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</si>
  <si>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</si>
  <si>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</si>
  <si>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</si>
  <si>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</si>
  <si>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</si>
  <si>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</si>
  <si>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</si>
  <si>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</si>
  <si>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</si>
  <si>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</si>
  <si>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</si>
  <si>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</si>
  <si>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</si>
  <si>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</si>
  <si>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</si>
  <si>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</si>
  <si>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</si>
  <si>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</si>
  <si>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</si>
  <si>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</si>
  <si>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</si>
  <si>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</si>
  <si>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</si>
  <si>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</si>
  <si>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</si>
  <si>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</si>
  <si>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</si>
  <si>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</si>
  <si>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</si>
  <si>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</si>
  <si>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</si>
  <si>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</si>
  <si>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</si>
  <si>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</si>
  <si>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</si>
  <si>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</si>
  <si>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</si>
  <si>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</si>
  <si>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</si>
  <si>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</si>
  <si>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</si>
  <si>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</si>
  <si>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</si>
  <si>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</si>
  <si>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</si>
  <si>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</si>
  <si>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</si>
  <si>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</si>
  <si>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</si>
  <si>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</si>
  <si>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</si>
  <si>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</si>
  <si>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</si>
  <si>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</si>
  <si>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</si>
  <si>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</si>
  <si>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</si>
  <si>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</si>
  <si>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</si>
  <si>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</si>
  <si>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</si>
  <si>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</si>
  <si>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</si>
  <si>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</si>
  <si>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</si>
  <si>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</si>
  <si>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</si>
  <si>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</si>
  <si>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</si>
  <si>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</si>
  <si>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</si>
  <si>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</si>
  <si>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</si>
  <si>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</si>
  <si>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</si>
  <si>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</si>
  <si>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</si>
  <si>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</si>
  <si>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</si>
  <si>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</si>
  <si>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</si>
  <si>
    <t>JOE TAYLOR</t>
  </si>
  <si>
    <t>ANDY COOK</t>
  </si>
  <si>
    <t>CRYSENCIO SUMMERVILLE</t>
  </si>
  <si>
    <t>MANCHESTER UTD</t>
  </si>
  <si>
    <t>JACK MOYLAN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</si>
</sst>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topLeftCell="A326" zoomScaleNormal="100" workbookViewId="0">
      <selection activeCell="G343" sqref="G343"/>
    </sheetView>
  </sheetViews>
  <sheetFormatPr defaultColWidth="9" defaultRowHeight="13.45" customHeight="1" x14ac:dyDescent="0.2"/>
  <cols>
    <col min="1" max="1" width="1.28515625" style="77" customWidth="1"/>
    <col min="2" max="2" width="16" style="77" customWidth="1"/>
    <col min="3" max="3" width="39.28515625" style="77" customWidth="1"/>
    <col min="4" max="4" width="32.85546875" style="77" customWidth="1"/>
    <col min="5" max="5" width="11.85546875" style="77" customWidth="1"/>
    <col min="6" max="6" width="17" style="77" customWidth="1"/>
    <col min="7" max="8" width="11.28515625" style="77" bestFit="1" customWidth="1"/>
    <col min="9" max="9" width="7.7109375" style="77" customWidth="1"/>
    <col min="10" max="10" width="7.140625" style="77" customWidth="1"/>
    <col min="11" max="11" width="25.7109375" style="77" bestFit="1" customWidth="1"/>
    <col min="12" max="12" width="33.28515625" style="77" customWidth="1"/>
    <col min="13" max="14" width="12" style="77" customWidth="1"/>
    <col min="15" max="15" width="10.28515625" style="77" customWidth="1"/>
    <col min="16" max="17" width="9" style="77" customWidth="1"/>
    <col min="18" max="18" width="32.28515625" style="77" bestFit="1" customWidth="1"/>
    <col min="19" max="21" width="9" style="77" customWidth="1"/>
    <col min="22" max="22" width="30.140625" style="77" bestFit="1" customWidth="1"/>
    <col min="23" max="258" width="9" style="77" customWidth="1"/>
    <col min="259" max="16384" width="9" style="78"/>
  </cols>
  <sheetData>
    <row r="1" spans="1:22" ht="13.45" customHeight="1" x14ac:dyDescent="0.2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5" customHeight="1" x14ac:dyDescent="0.2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5" customHeight="1" thickBot="1" x14ac:dyDescent="0.2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5" customHeight="1" thickBot="1" x14ac:dyDescent="0.3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5" customHeight="1" x14ac:dyDescent="0.2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37</v>
      </c>
      <c r="N5" s="19">
        <f>SUM(F8:F25)</f>
        <v>79</v>
      </c>
      <c r="O5" s="20">
        <f>SUM(F5:F7)</f>
        <v>42</v>
      </c>
      <c r="S5" s="102"/>
      <c r="T5" s="101"/>
      <c r="U5" s="102"/>
    </row>
    <row r="6" spans="1:22" ht="13.45" customHeight="1" x14ac:dyDescent="0.2">
      <c r="A6" s="79"/>
      <c r="B6" s="21" t="s">
        <v>13</v>
      </c>
      <c r="C6" s="21"/>
      <c r="D6" s="21" t="s">
        <v>404</v>
      </c>
      <c r="E6" s="22" t="s">
        <v>284</v>
      </c>
      <c r="F6" s="21">
        <v>10</v>
      </c>
      <c r="G6" s="86">
        <v>46093</v>
      </c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41</v>
      </c>
      <c r="N6" s="26">
        <f>SUM(F35:F52)</f>
        <v>104</v>
      </c>
      <c r="O6" s="27">
        <f>SUM(F32:F34)</f>
        <v>63</v>
      </c>
      <c r="S6" s="102"/>
      <c r="T6" s="101"/>
      <c r="U6" s="102"/>
    </row>
    <row r="7" spans="1:22" ht="13.45" customHeight="1" x14ac:dyDescent="0.2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33</v>
      </c>
      <c r="N7" s="26">
        <f>SUM(F62:F79)</f>
        <v>84</v>
      </c>
      <c r="O7" s="27">
        <f>SUM(F59:F61)</f>
        <v>51</v>
      </c>
      <c r="S7" s="102"/>
      <c r="T7" s="101"/>
      <c r="U7" s="102"/>
    </row>
    <row r="8" spans="1:22" ht="12.45" x14ac:dyDescent="0.2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36</v>
      </c>
      <c r="N8" s="26">
        <f>SUM(F89:F106)</f>
        <v>90</v>
      </c>
      <c r="O8" s="27">
        <f>SUM(F86:F88)</f>
        <v>54</v>
      </c>
    </row>
    <row r="9" spans="1:22" ht="13.45" customHeight="1" x14ac:dyDescent="0.2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3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42</v>
      </c>
      <c r="N9" s="73">
        <f>SUM(F116:F133)</f>
        <v>95</v>
      </c>
      <c r="O9" s="74">
        <f>SUM(F113:F115)</f>
        <v>53</v>
      </c>
    </row>
    <row r="10" spans="1:22" ht="13.45" customHeight="1" x14ac:dyDescent="0.25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38</v>
      </c>
      <c r="N10" s="26">
        <f>SUM(F143:F160)</f>
        <v>106</v>
      </c>
      <c r="O10" s="27">
        <f>SUM(F140:F142)</f>
        <v>68</v>
      </c>
      <c r="R10" s="119"/>
      <c r="S10" s="119"/>
      <c r="T10" s="119"/>
      <c r="U10" s="119"/>
      <c r="V10" s="119"/>
    </row>
    <row r="11" spans="1:22" ht="13.45" customHeight="1" x14ac:dyDescent="0.2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3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17</v>
      </c>
      <c r="N11" s="26">
        <f>SUM(F170:F187)</f>
        <v>69</v>
      </c>
      <c r="O11" s="27">
        <f>SUM(F167:F169)</f>
        <v>52</v>
      </c>
      <c r="S11" s="102"/>
      <c r="T11" s="101"/>
      <c r="U11" s="102"/>
    </row>
    <row r="12" spans="1:22" ht="13.45" customHeight="1" x14ac:dyDescent="0.2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5</v>
      </c>
      <c r="N12" s="73">
        <f>SUM(F197:F214)</f>
        <v>68</v>
      </c>
      <c r="O12" s="74">
        <f>SUM(F194:F196)</f>
        <v>63</v>
      </c>
    </row>
    <row r="13" spans="1:22" ht="13.45" customHeight="1" x14ac:dyDescent="0.25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10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24</v>
      </c>
      <c r="N13" s="73">
        <f>SUM(F224:F241)</f>
        <v>97</v>
      </c>
      <c r="O13" s="74">
        <f>SUM(F221:F223)</f>
        <v>73</v>
      </c>
      <c r="R13" s="119"/>
      <c r="S13" s="119"/>
      <c r="T13" s="119"/>
      <c r="U13" s="119"/>
      <c r="V13" s="119"/>
    </row>
    <row r="14" spans="1:22" ht="13.45" customHeight="1" x14ac:dyDescent="0.2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8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33</v>
      </c>
      <c r="N14" s="73">
        <f>SUM(F251:F268)</f>
        <v>98</v>
      </c>
      <c r="O14" s="74">
        <f>SUM(F248:F250)</f>
        <v>65</v>
      </c>
      <c r="S14" s="102"/>
      <c r="T14" s="101"/>
      <c r="U14" s="102"/>
    </row>
    <row r="15" spans="1:22" ht="13.45" customHeight="1" x14ac:dyDescent="0.2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14</v>
      </c>
      <c r="N15" s="26">
        <f>SUM(F278:F295)</f>
        <v>78</v>
      </c>
      <c r="O15" s="27">
        <f>SUM(F275:F277)</f>
        <v>64</v>
      </c>
    </row>
    <row r="16" spans="1:22" ht="13.45" customHeight="1" x14ac:dyDescent="0.2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4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57</v>
      </c>
      <c r="N16" s="26">
        <f>SUM(F305:F322)</f>
        <v>123</v>
      </c>
      <c r="O16" s="27">
        <f>SUM(F302:F304)</f>
        <v>66</v>
      </c>
    </row>
    <row r="17" spans="1:22" ht="13.45" customHeight="1" x14ac:dyDescent="0.25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11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11</v>
      </c>
      <c r="N17" s="26">
        <f>SUM(F332:F349)</f>
        <v>65</v>
      </c>
      <c r="O17" s="27">
        <f>SUM(F329:F331)</f>
        <v>54</v>
      </c>
      <c r="R17" s="119"/>
      <c r="S17" s="119"/>
      <c r="T17" s="119"/>
      <c r="U17" s="119"/>
      <c r="V17" s="119"/>
    </row>
    <row r="18" spans="1:22" ht="13.45" customHeight="1" thickBot="1" x14ac:dyDescent="0.2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22</v>
      </c>
      <c r="N18" s="26">
        <f>SUM(F359:F376)</f>
        <v>73</v>
      </c>
      <c r="O18" s="27">
        <f>SUM(F356:F358)</f>
        <v>51</v>
      </c>
      <c r="S18" s="102"/>
      <c r="T18" s="101"/>
      <c r="U18" s="102"/>
    </row>
    <row r="19" spans="1:22" ht="13.45" customHeight="1" x14ac:dyDescent="0.2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5" customHeight="1" x14ac:dyDescent="0.25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19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5" customHeight="1" x14ac:dyDescent="0.2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5" customHeight="1" x14ac:dyDescent="0.2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2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5" customHeight="1" x14ac:dyDescent="0.2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5" customHeight="1" x14ac:dyDescent="0.25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5" customHeight="1" thickBot="1" x14ac:dyDescent="0.2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7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5" customHeight="1" thickBot="1" x14ac:dyDescent="0.25">
      <c r="A26" s="1"/>
      <c r="B26" s="33"/>
      <c r="C26" s="33"/>
      <c r="D26" s="34"/>
      <c r="E26" s="35">
        <f>SUM(E5:E25)</f>
        <v>71</v>
      </c>
      <c r="F26" s="36">
        <f>SUM(F8:F25)-SUM(F5:F7)</f>
        <v>37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5" customHeight="1" x14ac:dyDescent="0.2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5" customHeight="1" x14ac:dyDescent="0.25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5" customHeight="1" x14ac:dyDescent="0.2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5" customHeight="1" thickBot="1" x14ac:dyDescent="0.2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5" customHeight="1" thickBot="1" x14ac:dyDescent="0.2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5" customHeight="1" x14ac:dyDescent="0.2">
      <c r="A32" s="79"/>
      <c r="B32" s="115" t="s">
        <v>13</v>
      </c>
      <c r="C32" s="111"/>
      <c r="D32" s="110" t="s">
        <v>122</v>
      </c>
      <c r="E32" s="112">
        <v>1</v>
      </c>
      <c r="F32" s="113">
        <v>45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5" customHeight="1" x14ac:dyDescent="0.2">
      <c r="A33" s="79"/>
      <c r="B33" s="115" t="s">
        <v>13</v>
      </c>
      <c r="C33" s="115"/>
      <c r="D33" s="115" t="s">
        <v>85</v>
      </c>
      <c r="E33" s="116" t="s">
        <v>284</v>
      </c>
      <c r="F33" s="115">
        <v>8</v>
      </c>
      <c r="G33" s="86">
        <v>46072</v>
      </c>
      <c r="H33" s="94">
        <v>46107</v>
      </c>
      <c r="I33" s="93"/>
      <c r="J33" s="76"/>
      <c r="K33" s="1"/>
      <c r="L33" s="1"/>
      <c r="M33" s="1"/>
      <c r="N33" s="1"/>
      <c r="O33" s="1"/>
    </row>
    <row r="34" spans="1:22" ht="13.45" customHeight="1" x14ac:dyDescent="0.2">
      <c r="A34" s="79"/>
      <c r="B34" s="28" t="s">
        <v>13</v>
      </c>
      <c r="C34" s="21"/>
      <c r="D34" s="21" t="s">
        <v>138</v>
      </c>
      <c r="E34" s="22" t="s">
        <v>284</v>
      </c>
      <c r="F34" s="21">
        <v>10</v>
      </c>
      <c r="G34" s="86">
        <v>46107</v>
      </c>
      <c r="H34" s="92"/>
      <c r="I34" s="93"/>
      <c r="J34" s="76"/>
      <c r="K34" s="1"/>
      <c r="L34" s="1"/>
      <c r="M34" s="1"/>
      <c r="N34" s="1"/>
      <c r="O34" s="1"/>
    </row>
    <row r="35" spans="1:22" ht="13.45" customHeight="1" x14ac:dyDescent="0.2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5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5" customHeight="1" x14ac:dyDescent="0.2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8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5" customHeight="1" x14ac:dyDescent="0.2">
      <c r="A37" s="79"/>
      <c r="B37" s="28" t="s">
        <v>16</v>
      </c>
      <c r="C37" s="28" t="s">
        <v>105</v>
      </c>
      <c r="D37" s="28" t="s">
        <v>19</v>
      </c>
      <c r="E37" s="29">
        <v>32</v>
      </c>
      <c r="F37" s="30">
        <v>11</v>
      </c>
      <c r="G37" s="83"/>
      <c r="H37" s="91"/>
      <c r="I37" s="93"/>
      <c r="J37" s="76"/>
      <c r="K37" s="1"/>
      <c r="L37" s="1"/>
      <c r="M37" s="1"/>
      <c r="N37" s="1"/>
      <c r="O37" s="1"/>
    </row>
    <row r="38" spans="1:22" ht="13.45" customHeight="1" x14ac:dyDescent="0.25">
      <c r="A38" s="79"/>
      <c r="B38" s="28" t="s">
        <v>16</v>
      </c>
      <c r="C38" s="28" t="s">
        <v>72</v>
      </c>
      <c r="D38" s="28" t="s">
        <v>58</v>
      </c>
      <c r="E38" s="29">
        <v>12</v>
      </c>
      <c r="F38" s="30">
        <v>11</v>
      </c>
      <c r="G38" s="87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5" customHeight="1" x14ac:dyDescent="0.2">
      <c r="A39" s="79"/>
      <c r="B39" s="28" t="s">
        <v>16</v>
      </c>
      <c r="C39" s="28" t="s">
        <v>190</v>
      </c>
      <c r="D39" s="28" t="s">
        <v>83</v>
      </c>
      <c r="E39" s="29">
        <v>1</v>
      </c>
      <c r="F39" s="30">
        <v>21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5" customHeight="1" x14ac:dyDescent="0.2">
      <c r="A40" s="79"/>
      <c r="B40" s="106" t="s">
        <v>17</v>
      </c>
      <c r="C40" s="106" t="s">
        <v>61</v>
      </c>
      <c r="D40" s="106" t="s">
        <v>74</v>
      </c>
      <c r="E40" s="107">
        <v>2</v>
      </c>
      <c r="F40" s="108">
        <v>0</v>
      </c>
      <c r="G40" s="87" t="s">
        <v>285</v>
      </c>
      <c r="H40" s="91">
        <v>45876</v>
      </c>
      <c r="I40" s="89"/>
      <c r="J40" s="1"/>
      <c r="K40" s="1"/>
      <c r="L40" s="1"/>
      <c r="M40" s="1"/>
      <c r="N40" s="1"/>
      <c r="O40" s="1"/>
    </row>
    <row r="41" spans="1:22" ht="13.45" customHeight="1" x14ac:dyDescent="0.2">
      <c r="A41" s="79"/>
      <c r="B41" s="106" t="s">
        <v>17</v>
      </c>
      <c r="C41" s="106" t="s">
        <v>286</v>
      </c>
      <c r="D41" s="106" t="s">
        <v>70</v>
      </c>
      <c r="E41" s="107" t="s">
        <v>284</v>
      </c>
      <c r="F41" s="108">
        <v>5</v>
      </c>
      <c r="G41" s="87">
        <v>45876</v>
      </c>
      <c r="H41" s="91">
        <v>46051</v>
      </c>
      <c r="I41" s="89"/>
      <c r="J41" s="76"/>
      <c r="K41" s="1"/>
      <c r="L41" s="1"/>
      <c r="M41" s="1"/>
      <c r="N41" s="1"/>
      <c r="O41" s="1"/>
    </row>
    <row r="42" spans="1:22" ht="13.45" customHeight="1" x14ac:dyDescent="0.2">
      <c r="A42" s="79"/>
      <c r="B42" s="106" t="s">
        <v>17</v>
      </c>
      <c r="C42" s="106" t="s">
        <v>520</v>
      </c>
      <c r="D42" s="106" t="s">
        <v>132</v>
      </c>
      <c r="E42" s="107" t="s">
        <v>284</v>
      </c>
      <c r="F42" s="108">
        <v>2</v>
      </c>
      <c r="G42" s="87">
        <v>46051</v>
      </c>
      <c r="H42" s="91">
        <v>46107</v>
      </c>
      <c r="I42" s="89"/>
      <c r="J42" s="76"/>
      <c r="K42" s="1"/>
      <c r="L42" s="1"/>
      <c r="M42" s="1"/>
      <c r="N42" s="1"/>
      <c r="O42" s="1"/>
    </row>
    <row r="43" spans="1:22" ht="13.45" customHeight="1" x14ac:dyDescent="0.2">
      <c r="A43" s="79"/>
      <c r="B43" s="28" t="s">
        <v>17</v>
      </c>
      <c r="C43" s="28" t="s">
        <v>545</v>
      </c>
      <c r="D43" s="28" t="s">
        <v>94</v>
      </c>
      <c r="E43" s="29" t="s">
        <v>284</v>
      </c>
      <c r="F43" s="30">
        <v>3</v>
      </c>
      <c r="G43" s="87">
        <v>46107</v>
      </c>
      <c r="H43" s="91"/>
      <c r="I43" s="89"/>
      <c r="J43" s="76"/>
      <c r="K43" s="1"/>
      <c r="L43" s="1"/>
      <c r="M43" s="1"/>
      <c r="N43" s="1"/>
      <c r="O43" s="1"/>
    </row>
    <row r="44" spans="1:22" ht="13.45" customHeight="1" x14ac:dyDescent="0.2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10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5" customHeight="1" x14ac:dyDescent="0.2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5" customHeight="1" x14ac:dyDescent="0.2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5" customHeight="1" x14ac:dyDescent="0.2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5" customHeight="1" x14ac:dyDescent="0.2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1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5" customHeight="1" x14ac:dyDescent="0.2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5" customHeight="1" x14ac:dyDescent="0.2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5" customHeight="1" x14ac:dyDescent="0.2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9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5" customHeight="1" thickBot="1" x14ac:dyDescent="0.2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8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5" customHeight="1" thickBot="1" x14ac:dyDescent="0.25">
      <c r="A53" s="1"/>
      <c r="B53" s="33"/>
      <c r="C53" s="33"/>
      <c r="D53" s="34"/>
      <c r="E53" s="35">
        <f>SUM(E32:E52)</f>
        <v>99</v>
      </c>
      <c r="F53" s="36">
        <f>SUM(F35:F52)-SUM(F32:F34)</f>
        <v>41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5" customHeight="1" x14ac:dyDescent="0.2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5" customHeight="1" x14ac:dyDescent="0.2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5" customHeight="1" x14ac:dyDescent="0.2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5" customHeight="1" thickBot="1" x14ac:dyDescent="0.2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5" customHeight="1" thickBot="1" x14ac:dyDescent="0.2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5" customHeight="1" x14ac:dyDescent="0.2">
      <c r="A59" s="79"/>
      <c r="B59" s="12" t="s">
        <v>13</v>
      </c>
      <c r="C59" s="13"/>
      <c r="D59" s="12" t="s">
        <v>149</v>
      </c>
      <c r="E59" s="14">
        <v>4</v>
      </c>
      <c r="F59" s="15">
        <v>51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5" customHeight="1" x14ac:dyDescent="0.2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5" customHeight="1" x14ac:dyDescent="0.2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5" customHeight="1" x14ac:dyDescent="0.2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5" customHeight="1" x14ac:dyDescent="0.2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5" customHeight="1" x14ac:dyDescent="0.2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5" customHeight="1" x14ac:dyDescent="0.2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9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5" customHeight="1" x14ac:dyDescent="0.2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21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5" customHeight="1" x14ac:dyDescent="0.2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5" customHeight="1" x14ac:dyDescent="0.2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11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5" customHeight="1" x14ac:dyDescent="0.2">
      <c r="A69" s="79"/>
      <c r="B69" s="106" t="s">
        <v>17</v>
      </c>
      <c r="C69" s="106" t="s">
        <v>99</v>
      </c>
      <c r="D69" s="106" t="s">
        <v>20</v>
      </c>
      <c r="E69" s="107">
        <v>5</v>
      </c>
      <c r="F69" s="108">
        <v>8</v>
      </c>
      <c r="G69" s="87" t="s">
        <v>285</v>
      </c>
      <c r="H69" s="91">
        <v>46058</v>
      </c>
      <c r="I69" s="90"/>
      <c r="J69" s="76"/>
      <c r="K69" s="1"/>
      <c r="L69" s="1"/>
      <c r="M69" s="1"/>
      <c r="N69" s="1"/>
      <c r="O69" s="1"/>
    </row>
    <row r="70" spans="1:15" ht="13.45" customHeight="1" x14ac:dyDescent="0.2">
      <c r="A70" s="79"/>
      <c r="B70" s="28" t="s">
        <v>17</v>
      </c>
      <c r="C70" s="28" t="s">
        <v>221</v>
      </c>
      <c r="D70" s="28" t="s">
        <v>83</v>
      </c>
      <c r="E70" s="29" t="s">
        <v>284</v>
      </c>
      <c r="F70" s="30">
        <v>4</v>
      </c>
      <c r="G70" s="87">
        <v>46058</v>
      </c>
      <c r="H70" s="91"/>
      <c r="I70" s="90"/>
      <c r="J70" s="76"/>
      <c r="K70" s="1"/>
      <c r="L70" s="1"/>
      <c r="M70" s="1"/>
      <c r="N70" s="1"/>
      <c r="O70" s="1"/>
    </row>
    <row r="71" spans="1:15" ht="13.45" customHeight="1" x14ac:dyDescent="0.2">
      <c r="A71" s="79"/>
      <c r="B71" s="106" t="s">
        <v>17</v>
      </c>
      <c r="C71" s="106" t="s">
        <v>59</v>
      </c>
      <c r="D71" s="106" t="s">
        <v>18</v>
      </c>
      <c r="E71" s="107">
        <v>7</v>
      </c>
      <c r="F71" s="108">
        <v>0</v>
      </c>
      <c r="G71" s="83" t="s">
        <v>285</v>
      </c>
      <c r="H71" s="91">
        <v>45897</v>
      </c>
      <c r="I71" s="90"/>
      <c r="J71" s="76"/>
      <c r="K71" s="1"/>
      <c r="L71" s="1"/>
      <c r="M71" s="1"/>
      <c r="N71" s="1"/>
      <c r="O71" s="1"/>
    </row>
    <row r="72" spans="1:15" ht="13.45" customHeight="1" x14ac:dyDescent="0.2">
      <c r="A72" s="79"/>
      <c r="B72" s="28" t="s">
        <v>17</v>
      </c>
      <c r="C72" s="28" t="s">
        <v>405</v>
      </c>
      <c r="D72" s="28" t="s">
        <v>87</v>
      </c>
      <c r="E72" s="29" t="s">
        <v>284</v>
      </c>
      <c r="F72" s="30">
        <v>8</v>
      </c>
      <c r="G72" s="87">
        <v>45897</v>
      </c>
      <c r="H72" s="91"/>
      <c r="I72" s="90"/>
      <c r="J72" s="76"/>
      <c r="K72" s="1"/>
      <c r="L72" s="1"/>
      <c r="M72" s="1"/>
      <c r="N72" s="1"/>
      <c r="O72" s="1"/>
    </row>
    <row r="73" spans="1:15" ht="13.45" customHeight="1" x14ac:dyDescent="0.2">
      <c r="A73" s="79"/>
      <c r="B73" s="28" t="s">
        <v>17</v>
      </c>
      <c r="C73" s="28" t="s">
        <v>195</v>
      </c>
      <c r="D73" s="28" t="s">
        <v>160</v>
      </c>
      <c r="E73" s="29">
        <v>7</v>
      </c>
      <c r="F73" s="30">
        <v>6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5" customHeight="1" x14ac:dyDescent="0.2">
      <c r="A74" s="79"/>
      <c r="B74" s="106" t="s">
        <v>17</v>
      </c>
      <c r="C74" s="106" t="s">
        <v>196</v>
      </c>
      <c r="D74" s="106" t="s">
        <v>82</v>
      </c>
      <c r="E74" s="107">
        <v>1</v>
      </c>
      <c r="F74" s="108">
        <v>0</v>
      </c>
      <c r="G74" s="87" t="s">
        <v>285</v>
      </c>
      <c r="H74" s="91">
        <v>45890</v>
      </c>
      <c r="I74" s="90"/>
      <c r="J74" s="76"/>
      <c r="K74" s="1"/>
      <c r="L74" s="1"/>
      <c r="M74" s="1"/>
      <c r="N74" s="1"/>
      <c r="O74" s="1"/>
    </row>
    <row r="75" spans="1:15" ht="13.45" customHeight="1" x14ac:dyDescent="0.2">
      <c r="A75" s="79"/>
      <c r="B75" s="106" t="s">
        <v>17</v>
      </c>
      <c r="C75" s="106" t="s">
        <v>292</v>
      </c>
      <c r="D75" s="106" t="s">
        <v>293</v>
      </c>
      <c r="E75" s="107" t="s">
        <v>284</v>
      </c>
      <c r="F75" s="108">
        <v>3</v>
      </c>
      <c r="G75" s="87">
        <v>45890</v>
      </c>
      <c r="H75" s="91">
        <v>46044</v>
      </c>
      <c r="I75" s="90"/>
      <c r="J75" s="76"/>
      <c r="K75" s="1"/>
      <c r="L75" s="1"/>
      <c r="M75" s="1"/>
      <c r="N75" s="1"/>
      <c r="O75" s="1"/>
    </row>
    <row r="76" spans="1:15" ht="13.45" customHeight="1" x14ac:dyDescent="0.2">
      <c r="A76" s="79"/>
      <c r="B76" s="28" t="s">
        <v>17</v>
      </c>
      <c r="C76" s="28" t="s">
        <v>59</v>
      </c>
      <c r="D76" s="28" t="s">
        <v>18</v>
      </c>
      <c r="E76" s="29" t="s">
        <v>284</v>
      </c>
      <c r="F76" s="30">
        <v>6</v>
      </c>
      <c r="G76" s="87">
        <v>46044</v>
      </c>
      <c r="H76" s="91"/>
      <c r="I76" s="90"/>
      <c r="J76" s="76"/>
      <c r="K76" s="1"/>
      <c r="L76" s="1"/>
      <c r="M76" s="1"/>
      <c r="N76" s="1"/>
      <c r="O76" s="1"/>
    </row>
    <row r="77" spans="1:15" ht="13.45" customHeight="1" x14ac:dyDescent="0.2">
      <c r="A77" s="79"/>
      <c r="B77" s="106" t="s">
        <v>17</v>
      </c>
      <c r="C77" s="106" t="s">
        <v>197</v>
      </c>
      <c r="D77" s="106" t="s">
        <v>100</v>
      </c>
      <c r="E77" s="107">
        <v>1</v>
      </c>
      <c r="F77" s="108">
        <v>1</v>
      </c>
      <c r="G77" s="87" t="s">
        <v>285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5" customHeight="1" x14ac:dyDescent="0.2">
      <c r="A78" s="79"/>
      <c r="B78" s="106" t="s">
        <v>17</v>
      </c>
      <c r="C78" s="106" t="s">
        <v>458</v>
      </c>
      <c r="D78" s="106" t="s">
        <v>459</v>
      </c>
      <c r="E78" s="107" t="s">
        <v>284</v>
      </c>
      <c r="F78" s="108">
        <v>4</v>
      </c>
      <c r="G78" s="87">
        <v>45946</v>
      </c>
      <c r="H78" s="91">
        <v>46107</v>
      </c>
      <c r="I78" s="90"/>
      <c r="J78" s="76"/>
      <c r="K78" s="1"/>
      <c r="L78" s="1"/>
      <c r="M78" s="1"/>
      <c r="N78" s="1"/>
      <c r="O78" s="1"/>
    </row>
    <row r="79" spans="1:15" ht="13.45" customHeight="1" thickBot="1" x14ac:dyDescent="0.25">
      <c r="A79" s="79"/>
      <c r="B79" s="28" t="s">
        <v>17</v>
      </c>
      <c r="C79" s="28" t="s">
        <v>547</v>
      </c>
      <c r="D79" s="28" t="s">
        <v>58</v>
      </c>
      <c r="E79" s="29" t="s">
        <v>284</v>
      </c>
      <c r="F79" s="30">
        <v>0</v>
      </c>
      <c r="G79" s="87">
        <v>46107</v>
      </c>
      <c r="H79" s="91"/>
      <c r="I79" s="92"/>
      <c r="J79" s="76"/>
      <c r="K79" s="1"/>
      <c r="L79" s="1"/>
      <c r="M79" s="1"/>
      <c r="N79" s="1"/>
      <c r="O79" s="1"/>
    </row>
    <row r="80" spans="1:15" ht="13.45" customHeight="1" thickBot="1" x14ac:dyDescent="0.25">
      <c r="A80" s="1"/>
      <c r="B80" s="33"/>
      <c r="C80" s="33"/>
      <c r="D80" s="34"/>
      <c r="E80" s="35">
        <f>SUM(E59:E79)</f>
        <v>91</v>
      </c>
      <c r="F80" s="36">
        <f>SUM(F62:F79)-SUM(F59:F61)</f>
        <v>33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5" customHeight="1" x14ac:dyDescent="0.2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5" customHeight="1" x14ac:dyDescent="0.2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5" customHeight="1" x14ac:dyDescent="0.2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5" customHeight="1" thickBot="1" x14ac:dyDescent="0.2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5" customHeight="1" thickBot="1" x14ac:dyDescent="0.2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5" customHeight="1" x14ac:dyDescent="0.2">
      <c r="A86" s="79"/>
      <c r="B86" s="12" t="s">
        <v>13</v>
      </c>
      <c r="C86" s="13"/>
      <c r="D86" s="12" t="s">
        <v>70</v>
      </c>
      <c r="E86" s="14">
        <v>8</v>
      </c>
      <c r="F86" s="15">
        <v>54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5" customHeight="1" x14ac:dyDescent="0.2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5" customHeight="1" x14ac:dyDescent="0.2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5" customHeight="1" x14ac:dyDescent="0.2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5" customHeight="1" x14ac:dyDescent="0.2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5" customHeight="1" x14ac:dyDescent="0.2">
      <c r="A91" s="79"/>
      <c r="B91" s="28" t="s">
        <v>16</v>
      </c>
      <c r="C91" s="28" t="s">
        <v>200</v>
      </c>
      <c r="D91" s="28" t="s">
        <v>22</v>
      </c>
      <c r="E91" s="29">
        <v>1</v>
      </c>
      <c r="F91" s="30">
        <v>7</v>
      </c>
      <c r="G91" s="87"/>
      <c r="H91" s="91"/>
      <c r="I91" s="90"/>
      <c r="J91" s="76"/>
      <c r="K91" s="1"/>
      <c r="L91" s="1"/>
      <c r="M91" s="1"/>
      <c r="N91" s="1"/>
      <c r="O91" s="1"/>
    </row>
    <row r="92" spans="1:15" ht="13.45" customHeight="1" x14ac:dyDescent="0.2">
      <c r="A92" s="79"/>
      <c r="B92" s="106" t="s">
        <v>16</v>
      </c>
      <c r="C92" s="106" t="s">
        <v>65</v>
      </c>
      <c r="D92" s="106" t="s">
        <v>136</v>
      </c>
      <c r="E92" s="107">
        <v>1</v>
      </c>
      <c r="F92" s="108">
        <v>0</v>
      </c>
      <c r="G92" s="91" t="s">
        <v>285</v>
      </c>
      <c r="H92" s="91">
        <v>45876</v>
      </c>
      <c r="I92" s="90"/>
      <c r="J92" s="76"/>
      <c r="K92" s="1"/>
      <c r="L92" s="1"/>
      <c r="M92" s="1"/>
      <c r="N92" s="1"/>
      <c r="O92" s="1"/>
    </row>
    <row r="93" spans="1:15" ht="13.45" customHeight="1" x14ac:dyDescent="0.2">
      <c r="A93" s="79"/>
      <c r="B93" s="106" t="s">
        <v>16</v>
      </c>
      <c r="C93" s="106" t="s">
        <v>488</v>
      </c>
      <c r="D93" s="106" t="s">
        <v>24</v>
      </c>
      <c r="E93" s="107" t="s">
        <v>284</v>
      </c>
      <c r="F93" s="108">
        <v>2</v>
      </c>
      <c r="G93" s="91">
        <v>45876</v>
      </c>
      <c r="H93" s="91">
        <v>46065</v>
      </c>
      <c r="I93" s="91"/>
      <c r="J93" s="76"/>
      <c r="K93" s="1"/>
      <c r="L93" s="1"/>
      <c r="M93" s="1"/>
      <c r="N93" s="1"/>
      <c r="O93" s="1"/>
    </row>
    <row r="94" spans="1:15" ht="13.45" customHeight="1" x14ac:dyDescent="0.2">
      <c r="A94" s="79"/>
      <c r="B94" s="28" t="s">
        <v>16</v>
      </c>
      <c r="C94" s="28" t="s">
        <v>526</v>
      </c>
      <c r="D94" s="28" t="s">
        <v>499</v>
      </c>
      <c r="E94" s="29" t="s">
        <v>284</v>
      </c>
      <c r="F94" s="30">
        <v>2</v>
      </c>
      <c r="G94" s="91">
        <v>46065</v>
      </c>
      <c r="H94" s="91"/>
      <c r="I94" s="90"/>
      <c r="J94" s="76"/>
      <c r="K94" s="1"/>
      <c r="L94" s="1"/>
      <c r="M94" s="1"/>
      <c r="N94" s="1"/>
      <c r="O94" s="1"/>
    </row>
    <row r="95" spans="1:15" ht="13.45" customHeight="1" x14ac:dyDescent="0.2">
      <c r="A95" s="79"/>
      <c r="B95" s="28" t="s">
        <v>16</v>
      </c>
      <c r="C95" s="28" t="s">
        <v>137</v>
      </c>
      <c r="D95" s="28" t="s">
        <v>18</v>
      </c>
      <c r="E95" s="29">
        <v>19</v>
      </c>
      <c r="F95" s="30">
        <v>10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5" customHeight="1" x14ac:dyDescent="0.2">
      <c r="A96" s="79"/>
      <c r="B96" s="28" t="s">
        <v>17</v>
      </c>
      <c r="C96" s="28" t="s">
        <v>201</v>
      </c>
      <c r="D96" s="28" t="s">
        <v>33</v>
      </c>
      <c r="E96" s="29">
        <v>25</v>
      </c>
      <c r="F96" s="30">
        <v>17</v>
      </c>
      <c r="G96" s="87"/>
      <c r="H96" s="91"/>
      <c r="I96" s="90"/>
      <c r="J96" s="76"/>
      <c r="K96" s="1"/>
      <c r="L96" s="1"/>
      <c r="M96" s="1"/>
      <c r="N96" s="1"/>
      <c r="O96" s="1"/>
    </row>
    <row r="97" spans="1:15" ht="13.45" customHeight="1" x14ac:dyDescent="0.2">
      <c r="A97" s="79"/>
      <c r="B97" s="106" t="s">
        <v>17</v>
      </c>
      <c r="C97" s="106" t="s">
        <v>154</v>
      </c>
      <c r="D97" s="106" t="s">
        <v>153</v>
      </c>
      <c r="E97" s="107">
        <v>10</v>
      </c>
      <c r="F97" s="108">
        <v>3</v>
      </c>
      <c r="G97" s="83" t="s">
        <v>285</v>
      </c>
      <c r="H97" s="91">
        <v>45995</v>
      </c>
      <c r="I97" s="90"/>
      <c r="J97" s="76"/>
      <c r="K97" s="1"/>
      <c r="L97" s="1"/>
      <c r="M97" s="1"/>
      <c r="N97" s="1"/>
      <c r="O97" s="1"/>
    </row>
    <row r="98" spans="1:15" ht="13.45" customHeight="1" x14ac:dyDescent="0.2">
      <c r="A98" s="79"/>
      <c r="B98" s="106" t="s">
        <v>17</v>
      </c>
      <c r="C98" s="106" t="s">
        <v>484</v>
      </c>
      <c r="D98" s="106" t="s">
        <v>97</v>
      </c>
      <c r="E98" s="107" t="s">
        <v>284</v>
      </c>
      <c r="F98" s="108">
        <v>3</v>
      </c>
      <c r="G98" s="87">
        <v>45995</v>
      </c>
      <c r="H98" s="91">
        <v>46086</v>
      </c>
      <c r="I98" s="90"/>
      <c r="J98" s="76"/>
      <c r="K98" s="1"/>
      <c r="L98" s="1"/>
      <c r="M98" s="1"/>
      <c r="N98" s="1"/>
      <c r="O98" s="1"/>
    </row>
    <row r="99" spans="1:15" ht="13.45" customHeight="1" x14ac:dyDescent="0.2">
      <c r="A99" s="79"/>
      <c r="B99" s="28" t="s">
        <v>17</v>
      </c>
      <c r="C99" s="28" t="s">
        <v>536</v>
      </c>
      <c r="D99" s="28" t="s">
        <v>537</v>
      </c>
      <c r="E99" s="29" t="s">
        <v>284</v>
      </c>
      <c r="F99" s="30">
        <v>3</v>
      </c>
      <c r="G99" s="87">
        <v>46086</v>
      </c>
      <c r="H99" s="91"/>
      <c r="I99" s="90"/>
      <c r="J99" s="76"/>
      <c r="K99" s="1"/>
      <c r="L99" s="1"/>
      <c r="M99" s="1"/>
      <c r="N99" s="1"/>
      <c r="O99" s="1"/>
    </row>
    <row r="100" spans="1:15" ht="13.45" customHeight="1" x14ac:dyDescent="0.2">
      <c r="A100" s="79"/>
      <c r="B100" s="106" t="s">
        <v>17</v>
      </c>
      <c r="C100" s="106" t="s">
        <v>60</v>
      </c>
      <c r="D100" s="106" t="s">
        <v>148</v>
      </c>
      <c r="E100" s="107">
        <v>6</v>
      </c>
      <c r="F100" s="108">
        <v>1</v>
      </c>
      <c r="G100" s="87" t="s">
        <v>285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5" customHeight="1" x14ac:dyDescent="0.2">
      <c r="A101" s="79"/>
      <c r="B101" s="28" t="s">
        <v>17</v>
      </c>
      <c r="C101" s="28" t="s">
        <v>443</v>
      </c>
      <c r="D101" s="28" t="s">
        <v>167</v>
      </c>
      <c r="E101" s="29" t="s">
        <v>284</v>
      </c>
      <c r="F101" s="30">
        <v>19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5" customHeight="1" x14ac:dyDescent="0.2">
      <c r="A102" s="79"/>
      <c r="B102" s="106" t="s">
        <v>17</v>
      </c>
      <c r="C102" s="106" t="s">
        <v>93</v>
      </c>
      <c r="D102" s="106" t="s">
        <v>80</v>
      </c>
      <c r="E102" s="107">
        <v>22</v>
      </c>
      <c r="F102" s="108">
        <v>5</v>
      </c>
      <c r="G102" s="87" t="s">
        <v>285</v>
      </c>
      <c r="H102" s="91">
        <v>46079</v>
      </c>
      <c r="I102" s="90"/>
      <c r="J102" s="76"/>
      <c r="K102" s="1"/>
      <c r="L102" s="1"/>
      <c r="M102" s="1"/>
      <c r="N102" s="1"/>
      <c r="O102" s="1"/>
    </row>
    <row r="103" spans="1:15" ht="13.45" customHeight="1" x14ac:dyDescent="0.2">
      <c r="A103" s="79"/>
      <c r="B103" s="28" t="s">
        <v>17</v>
      </c>
      <c r="C103" s="28" t="s">
        <v>546</v>
      </c>
      <c r="D103" s="28" t="s">
        <v>276</v>
      </c>
      <c r="E103" s="29" t="s">
        <v>284</v>
      </c>
      <c r="F103" s="30">
        <v>4</v>
      </c>
      <c r="G103" s="87">
        <v>46079</v>
      </c>
      <c r="H103" s="91"/>
      <c r="I103" s="90"/>
      <c r="J103" s="76"/>
      <c r="K103" s="1"/>
      <c r="L103" s="1"/>
      <c r="M103" s="1"/>
      <c r="N103" s="1"/>
      <c r="O103" s="1"/>
    </row>
    <row r="104" spans="1:15" ht="13.45" customHeight="1" x14ac:dyDescent="0.2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5" customHeight="1" x14ac:dyDescent="0.2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5" customHeight="1" thickBot="1" x14ac:dyDescent="0.2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7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5" customHeight="1" thickBot="1" x14ac:dyDescent="0.25">
      <c r="A107" s="1"/>
      <c r="B107" s="33"/>
      <c r="C107" s="33"/>
      <c r="D107" s="34"/>
      <c r="E107" s="35">
        <f>SUM(E86:E106)</f>
        <v>97</v>
      </c>
      <c r="F107" s="36">
        <f>SUM(F89:F106)-SUM(F86:F88)</f>
        <v>36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5" customHeight="1" x14ac:dyDescent="0.2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5" customHeight="1" x14ac:dyDescent="0.2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5" customHeight="1" x14ac:dyDescent="0.2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5" customHeight="1" thickBot="1" x14ac:dyDescent="0.2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5" customHeight="1" thickBot="1" x14ac:dyDescent="0.2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5" customHeight="1" x14ac:dyDescent="0.2">
      <c r="A113" s="79"/>
      <c r="B113" s="12" t="s">
        <v>13</v>
      </c>
      <c r="C113" s="13"/>
      <c r="D113" s="12" t="s">
        <v>204</v>
      </c>
      <c r="E113" s="14">
        <v>1</v>
      </c>
      <c r="F113" s="15">
        <v>53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5" customHeight="1" x14ac:dyDescent="0.2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5" customHeight="1" x14ac:dyDescent="0.2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5" customHeight="1" x14ac:dyDescent="0.2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5" customHeight="1" x14ac:dyDescent="0.2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5" customHeight="1" x14ac:dyDescent="0.2">
      <c r="A118" s="79"/>
      <c r="B118" s="106" t="s">
        <v>16</v>
      </c>
      <c r="C118" s="106" t="s">
        <v>208</v>
      </c>
      <c r="D118" s="106" t="s">
        <v>82</v>
      </c>
      <c r="E118" s="107">
        <v>19</v>
      </c>
      <c r="F118" s="108">
        <v>15</v>
      </c>
      <c r="G118" s="87" t="s">
        <v>285</v>
      </c>
      <c r="H118" s="91">
        <v>46079</v>
      </c>
      <c r="I118" s="90"/>
      <c r="J118" s="76"/>
      <c r="K118" s="1"/>
      <c r="L118" s="1"/>
      <c r="M118" s="1"/>
      <c r="N118" s="1"/>
      <c r="O118" s="1"/>
    </row>
    <row r="119" spans="1:15" ht="13.45" customHeight="1" x14ac:dyDescent="0.2">
      <c r="A119" s="79"/>
      <c r="B119" s="28" t="s">
        <v>16</v>
      </c>
      <c r="C119" s="28" t="s">
        <v>549</v>
      </c>
      <c r="D119" s="28" t="s">
        <v>404</v>
      </c>
      <c r="E119" s="29" t="s">
        <v>284</v>
      </c>
      <c r="F119" s="30">
        <v>4</v>
      </c>
      <c r="G119" s="87">
        <v>46079</v>
      </c>
      <c r="H119" s="91"/>
      <c r="I119" s="90"/>
      <c r="J119" s="76"/>
      <c r="K119" s="1"/>
      <c r="L119" s="1"/>
      <c r="M119" s="1"/>
      <c r="N119" s="1"/>
      <c r="O119" s="1"/>
    </row>
    <row r="120" spans="1:15" ht="13.45" customHeight="1" x14ac:dyDescent="0.2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9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5" customHeight="1" x14ac:dyDescent="0.2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5" customHeight="1" x14ac:dyDescent="0.2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7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5" customHeight="1" x14ac:dyDescent="0.2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5" customHeight="1" x14ac:dyDescent="0.2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5" customHeight="1" x14ac:dyDescent="0.2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5" customHeight="1" x14ac:dyDescent="0.2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5" customHeight="1" x14ac:dyDescent="0.2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9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5" customHeight="1" x14ac:dyDescent="0.2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5" customHeight="1" x14ac:dyDescent="0.2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5" customHeight="1" x14ac:dyDescent="0.2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5" customHeight="1" x14ac:dyDescent="0.2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18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5" customHeight="1" x14ac:dyDescent="0.2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5" customHeight="1" thickBot="1" x14ac:dyDescent="0.2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12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5" customHeight="1" thickBot="1" x14ac:dyDescent="0.25">
      <c r="A134" s="1"/>
      <c r="B134" s="33"/>
      <c r="C134" s="33"/>
      <c r="D134" s="34"/>
      <c r="E134" s="35">
        <f>SUM(E113:E133)</f>
        <v>98</v>
      </c>
      <c r="F134" s="36">
        <f>SUM(F116:F133)-SUM(F113:F115)</f>
        <v>42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5" customHeight="1" x14ac:dyDescent="0.2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5" customHeight="1" x14ac:dyDescent="0.2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5" customHeight="1" x14ac:dyDescent="0.2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5" customHeight="1" thickBot="1" x14ac:dyDescent="0.2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5" customHeight="1" thickBot="1" x14ac:dyDescent="0.2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5" customHeight="1" x14ac:dyDescent="0.2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5" customHeight="1" x14ac:dyDescent="0.2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5" customHeight="1" x14ac:dyDescent="0.2">
      <c r="A142" s="79"/>
      <c r="B142" s="21" t="s">
        <v>13</v>
      </c>
      <c r="C142" s="21"/>
      <c r="D142" s="21" t="s">
        <v>293</v>
      </c>
      <c r="E142" s="22" t="s">
        <v>284</v>
      </c>
      <c r="F142" s="21">
        <v>48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5" customHeight="1" x14ac:dyDescent="0.2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5" customHeight="1" x14ac:dyDescent="0.2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3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5" customHeight="1" x14ac:dyDescent="0.2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12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5" customHeight="1" x14ac:dyDescent="0.2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5" customHeight="1" x14ac:dyDescent="0.2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5" customHeight="1" x14ac:dyDescent="0.2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8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5" customHeight="1" x14ac:dyDescent="0.2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5" customHeight="1" x14ac:dyDescent="0.2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8</v>
      </c>
      <c r="G150" s="87">
        <v>46030</v>
      </c>
      <c r="H150" s="91"/>
      <c r="I150" s="90"/>
      <c r="J150" s="76"/>
      <c r="K150" s="1"/>
      <c r="L150" s="1"/>
      <c r="M150" s="1"/>
      <c r="N150" s="1"/>
      <c r="O150" s="1"/>
    </row>
    <row r="151" spans="1:15" ht="13.45" customHeight="1" x14ac:dyDescent="0.2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5" customHeight="1" x14ac:dyDescent="0.2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9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5" customHeight="1" x14ac:dyDescent="0.2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5" customHeight="1" x14ac:dyDescent="0.2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5" customHeight="1" x14ac:dyDescent="0.2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5" customHeight="1" x14ac:dyDescent="0.2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2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5" customHeight="1" x14ac:dyDescent="0.2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20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5" customHeight="1" x14ac:dyDescent="0.2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5" customHeight="1" x14ac:dyDescent="0.2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5" customHeight="1" thickBot="1" x14ac:dyDescent="0.2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2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5" customHeight="1" thickBot="1" x14ac:dyDescent="0.2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38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5" customHeight="1" x14ac:dyDescent="0.2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5" customHeight="1" x14ac:dyDescent="0.2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5" customHeight="1" x14ac:dyDescent="0.2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5" customHeight="1" thickBot="1" x14ac:dyDescent="0.2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5" customHeight="1" thickBot="1" x14ac:dyDescent="0.2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5" customHeight="1" thickBot="1" x14ac:dyDescent="0.2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5" customHeight="1" x14ac:dyDescent="0.2">
      <c r="A168" s="79"/>
      <c r="B168" s="12" t="s">
        <v>13</v>
      </c>
      <c r="C168" s="21"/>
      <c r="D168" s="21" t="s">
        <v>97</v>
      </c>
      <c r="E168" s="22" t="s">
        <v>284</v>
      </c>
      <c r="F168" s="21">
        <v>38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5" customHeight="1" x14ac:dyDescent="0.2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5" customHeight="1" x14ac:dyDescent="0.2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5" customHeight="1" x14ac:dyDescent="0.2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2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5" customHeight="1" x14ac:dyDescent="0.2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5" customHeight="1" x14ac:dyDescent="0.2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5" customHeight="1" x14ac:dyDescent="0.2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5" customHeight="1" x14ac:dyDescent="0.2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5" customHeight="1" x14ac:dyDescent="0.2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5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5" customHeight="1" x14ac:dyDescent="0.2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12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5" customHeight="1" x14ac:dyDescent="0.2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5" customHeight="1" x14ac:dyDescent="0.2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5" customHeight="1" x14ac:dyDescent="0.2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5" customHeight="1" x14ac:dyDescent="0.2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5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5" customHeight="1" x14ac:dyDescent="0.2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13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5" customHeight="1" x14ac:dyDescent="0.2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5" customHeight="1" x14ac:dyDescent="0.2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6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5" customHeight="1" x14ac:dyDescent="0.2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5" customHeight="1" x14ac:dyDescent="0.2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5" customHeight="1" thickBot="1" x14ac:dyDescent="0.2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5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5" customHeight="1" thickBot="1" x14ac:dyDescent="0.25">
      <c r="A188" s="1"/>
      <c r="B188" s="33"/>
      <c r="C188" s="33"/>
      <c r="D188" s="34"/>
      <c r="E188" s="35">
        <f>SUM(E167:E187)</f>
        <v>78</v>
      </c>
      <c r="F188" s="36">
        <f>SUM(F170:F187)-SUM(F167:F169)</f>
        <v>17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5" customHeight="1" x14ac:dyDescent="0.2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5" customHeight="1" x14ac:dyDescent="0.2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5" customHeight="1" x14ac:dyDescent="0.2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5" customHeight="1" thickBot="1" x14ac:dyDescent="0.2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5" customHeight="1" thickBot="1" x14ac:dyDescent="0.2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5" customHeight="1" x14ac:dyDescent="0.2">
      <c r="A194" s="79"/>
      <c r="B194" s="12" t="s">
        <v>13</v>
      </c>
      <c r="C194" s="13"/>
      <c r="D194" s="12" t="s">
        <v>83</v>
      </c>
      <c r="E194" s="14">
        <v>1</v>
      </c>
      <c r="F194" s="15">
        <v>63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5" customHeight="1" x14ac:dyDescent="0.2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5" customHeight="1" x14ac:dyDescent="0.2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5" customHeight="1" x14ac:dyDescent="0.2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5" customHeight="1" x14ac:dyDescent="0.2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5" customHeight="1" x14ac:dyDescent="0.2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5" customHeight="1" x14ac:dyDescent="0.2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18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5" customHeight="1" x14ac:dyDescent="0.2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5" customHeight="1" x14ac:dyDescent="0.2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5" customHeight="1" x14ac:dyDescent="0.2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5" customHeight="1" x14ac:dyDescent="0.2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5" customHeight="1" x14ac:dyDescent="0.2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5" customHeight="1" x14ac:dyDescent="0.2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5" customHeight="1" x14ac:dyDescent="0.2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7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5" customHeight="1" x14ac:dyDescent="0.2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2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5" customHeight="1" x14ac:dyDescent="0.2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10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5" customHeight="1" x14ac:dyDescent="0.2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8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5" customHeight="1" x14ac:dyDescent="0.2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5" customHeight="1" x14ac:dyDescent="0.2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5" customHeight="1" x14ac:dyDescent="0.2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5" customHeight="1" thickBot="1" x14ac:dyDescent="0.2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5" customHeight="1" thickBot="1" x14ac:dyDescent="0.25">
      <c r="A215" s="1"/>
      <c r="B215" s="33"/>
      <c r="C215" s="33"/>
      <c r="D215" s="34"/>
      <c r="E215" s="35">
        <f>SUM(E194:E214)</f>
        <v>11</v>
      </c>
      <c r="F215" s="36">
        <f>SUM(F197:F214)-SUM(F194:F196)</f>
        <v>5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5" customHeight="1" x14ac:dyDescent="0.2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5" customHeight="1" x14ac:dyDescent="0.2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5" customHeight="1" x14ac:dyDescent="0.2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5" customHeight="1" thickBot="1" x14ac:dyDescent="0.2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5" customHeight="1" thickBot="1" x14ac:dyDescent="0.2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5" customHeight="1" x14ac:dyDescent="0.2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5" customHeight="1" x14ac:dyDescent="0.2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5" customHeight="1" x14ac:dyDescent="0.2">
      <c r="A223" s="79"/>
      <c r="B223" s="21" t="s">
        <v>13</v>
      </c>
      <c r="C223" s="21"/>
      <c r="D223" s="21" t="s">
        <v>179</v>
      </c>
      <c r="E223" s="22" t="s">
        <v>284</v>
      </c>
      <c r="F223" s="21">
        <v>40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5" customHeight="1" x14ac:dyDescent="0.2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5" customHeight="1" x14ac:dyDescent="0.2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5" customHeight="1" x14ac:dyDescent="0.2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5" customHeight="1" x14ac:dyDescent="0.2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5" customHeight="1" x14ac:dyDescent="0.2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6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5" customHeight="1" x14ac:dyDescent="0.2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5" customHeight="1" x14ac:dyDescent="0.2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5" customHeight="1" x14ac:dyDescent="0.2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5" customHeight="1" x14ac:dyDescent="0.2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5" customHeight="1" x14ac:dyDescent="0.2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5" customHeight="1" x14ac:dyDescent="0.2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21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5" customHeight="1" x14ac:dyDescent="0.2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5" customHeight="1" x14ac:dyDescent="0.2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11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5" customHeight="1" x14ac:dyDescent="0.2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5" customHeight="1" x14ac:dyDescent="0.2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5" customHeight="1" x14ac:dyDescent="0.2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5" customHeight="1" x14ac:dyDescent="0.2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17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5" customHeight="1" thickBot="1" x14ac:dyDescent="0.2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5" customHeight="1" thickBot="1" x14ac:dyDescent="0.25">
      <c r="A242" s="1"/>
      <c r="B242" s="33"/>
      <c r="C242" s="33"/>
      <c r="D242" s="34"/>
      <c r="E242" s="35">
        <f>SUM(E221:E241)</f>
        <v>98</v>
      </c>
      <c r="F242" s="36">
        <f>SUM(F224:F241)-SUM(F221:F223)</f>
        <v>24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5" customHeight="1" x14ac:dyDescent="0.2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6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5" customHeight="1" x14ac:dyDescent="0.2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5" customHeight="1" thickBot="1" x14ac:dyDescent="0.2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5" customHeight="1" thickBot="1" x14ac:dyDescent="0.2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5" customHeight="1" x14ac:dyDescent="0.2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5" customHeight="1" x14ac:dyDescent="0.2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5" customHeight="1" x14ac:dyDescent="0.2">
      <c r="A250" s="79"/>
      <c r="B250" s="21" t="s">
        <v>13</v>
      </c>
      <c r="C250" s="21"/>
      <c r="D250" s="21" t="s">
        <v>506</v>
      </c>
      <c r="E250" s="22" t="s">
        <v>284</v>
      </c>
      <c r="F250" s="21">
        <v>14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5" customHeight="1" x14ac:dyDescent="0.2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5" customHeight="1" x14ac:dyDescent="0.2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5" customHeight="1" x14ac:dyDescent="0.2">
      <c r="A253" s="79"/>
      <c r="B253" s="28" t="s">
        <v>16</v>
      </c>
      <c r="C253" s="28" t="s">
        <v>157</v>
      </c>
      <c r="D253" s="28" t="s">
        <v>215</v>
      </c>
      <c r="E253" s="29">
        <v>1</v>
      </c>
      <c r="F253" s="30">
        <v>12</v>
      </c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5" customHeight="1" x14ac:dyDescent="0.2">
      <c r="A254" s="79"/>
      <c r="B254" s="106" t="s">
        <v>16</v>
      </c>
      <c r="C254" s="106" t="s">
        <v>130</v>
      </c>
      <c r="D254" s="106" t="s">
        <v>24</v>
      </c>
      <c r="E254" s="107">
        <v>2</v>
      </c>
      <c r="F254" s="108">
        <v>0</v>
      </c>
      <c r="G254" s="91" t="s">
        <v>285</v>
      </c>
      <c r="H254" s="91">
        <v>45890</v>
      </c>
      <c r="I254" s="90"/>
      <c r="J254" s="1"/>
      <c r="K254" s="1"/>
      <c r="L254" s="1"/>
      <c r="M254" s="1"/>
      <c r="N254" s="1"/>
      <c r="O254" s="1"/>
    </row>
    <row r="255" spans="1:15" ht="13.45" customHeight="1" x14ac:dyDescent="0.2">
      <c r="A255" s="79"/>
      <c r="B255" s="106" t="s">
        <v>16</v>
      </c>
      <c r="C255" s="106" t="s">
        <v>294</v>
      </c>
      <c r="D255" s="106" t="s">
        <v>288</v>
      </c>
      <c r="E255" s="107" t="s">
        <v>284</v>
      </c>
      <c r="F255" s="108">
        <v>2</v>
      </c>
      <c r="G255" s="87">
        <v>45890</v>
      </c>
      <c r="H255" s="91">
        <v>46030</v>
      </c>
      <c r="I255" s="90"/>
      <c r="J255" s="1"/>
      <c r="K255" s="1"/>
      <c r="L255" s="1"/>
      <c r="M255" s="1"/>
      <c r="N255" s="1"/>
      <c r="O255" s="1"/>
    </row>
    <row r="256" spans="1:15" ht="13.45" customHeight="1" x14ac:dyDescent="0.2">
      <c r="A256" s="79"/>
      <c r="B256" s="28" t="s">
        <v>16</v>
      </c>
      <c r="C256" s="28" t="s">
        <v>502</v>
      </c>
      <c r="D256" s="28" t="s">
        <v>503</v>
      </c>
      <c r="E256" s="29" t="s">
        <v>284</v>
      </c>
      <c r="F256" s="30">
        <v>3</v>
      </c>
      <c r="G256" s="87">
        <v>46030</v>
      </c>
      <c r="H256" s="91"/>
      <c r="I256" s="90"/>
      <c r="J256" s="1"/>
      <c r="K256" s="1"/>
      <c r="L256" s="1"/>
      <c r="M256" s="1"/>
      <c r="N256" s="1"/>
      <c r="O256" s="1"/>
    </row>
    <row r="257" spans="1:15" ht="13.45" customHeight="1" x14ac:dyDescent="0.2">
      <c r="A257" s="79"/>
      <c r="B257" s="28" t="s">
        <v>16</v>
      </c>
      <c r="C257" s="28" t="s">
        <v>224</v>
      </c>
      <c r="D257" s="28" t="s">
        <v>22</v>
      </c>
      <c r="E257" s="29">
        <v>3</v>
      </c>
      <c r="F257" s="30">
        <v>10</v>
      </c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5" customHeight="1" x14ac:dyDescent="0.2">
      <c r="A258" s="79"/>
      <c r="B258" s="106" t="s">
        <v>17</v>
      </c>
      <c r="C258" s="106" t="s">
        <v>225</v>
      </c>
      <c r="D258" s="106" t="s">
        <v>118</v>
      </c>
      <c r="E258" s="107">
        <v>20</v>
      </c>
      <c r="F258" s="108">
        <v>3</v>
      </c>
      <c r="G258" s="83" t="s">
        <v>285</v>
      </c>
      <c r="H258" s="91">
        <v>46107</v>
      </c>
      <c r="I258" s="90"/>
      <c r="J258" s="1"/>
      <c r="K258" s="1"/>
      <c r="L258" s="1"/>
      <c r="M258" s="1"/>
      <c r="N258" s="1"/>
      <c r="O258" s="1"/>
    </row>
    <row r="259" spans="1:15" ht="13.45" customHeight="1" x14ac:dyDescent="0.2">
      <c r="A259" s="79"/>
      <c r="B259" s="28" t="s">
        <v>17</v>
      </c>
      <c r="C259" s="28" t="s">
        <v>286</v>
      </c>
      <c r="D259" s="28" t="s">
        <v>548</v>
      </c>
      <c r="E259" s="29" t="s">
        <v>284</v>
      </c>
      <c r="F259" s="30">
        <v>2</v>
      </c>
      <c r="G259" s="87">
        <v>46107</v>
      </c>
      <c r="H259" s="91"/>
      <c r="I259" s="90"/>
      <c r="J259" s="1"/>
      <c r="K259" s="1"/>
      <c r="L259" s="1"/>
      <c r="M259" s="1"/>
      <c r="N259" s="1"/>
      <c r="O259" s="1"/>
    </row>
    <row r="260" spans="1:15" ht="13.45" customHeight="1" x14ac:dyDescent="0.2">
      <c r="A260" s="79"/>
      <c r="B260" s="28" t="s">
        <v>17</v>
      </c>
      <c r="C260" s="28" t="s">
        <v>75</v>
      </c>
      <c r="D260" s="28" t="s">
        <v>26</v>
      </c>
      <c r="E260" s="29">
        <v>18</v>
      </c>
      <c r="F260" s="30">
        <v>21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5" customHeight="1" x14ac:dyDescent="0.2">
      <c r="A261" s="79"/>
      <c r="B261" s="106" t="s">
        <v>17</v>
      </c>
      <c r="C261" s="106" t="s">
        <v>106</v>
      </c>
      <c r="D261" s="106" t="s">
        <v>24</v>
      </c>
      <c r="E261" s="107">
        <v>16</v>
      </c>
      <c r="F261" s="108">
        <v>0</v>
      </c>
      <c r="G261" s="87" t="s">
        <v>285</v>
      </c>
      <c r="H261" s="91">
        <v>45946</v>
      </c>
      <c r="I261" s="90"/>
      <c r="J261" s="1"/>
      <c r="K261" s="1"/>
      <c r="L261" s="1"/>
      <c r="M261" s="1"/>
      <c r="N261" s="1"/>
      <c r="O261" s="1"/>
    </row>
    <row r="262" spans="1:15" ht="13.45" customHeight="1" x14ac:dyDescent="0.2">
      <c r="A262" s="79"/>
      <c r="B262" s="28" t="s">
        <v>17</v>
      </c>
      <c r="C262" s="28" t="s">
        <v>460</v>
      </c>
      <c r="D262" s="28" t="s">
        <v>170</v>
      </c>
      <c r="E262" s="29" t="s">
        <v>284</v>
      </c>
      <c r="F262" s="30">
        <v>17</v>
      </c>
      <c r="G262" s="87">
        <v>45946</v>
      </c>
      <c r="H262" s="91"/>
      <c r="I262" s="90"/>
      <c r="J262" s="1"/>
      <c r="K262" s="1"/>
      <c r="L262" s="1"/>
      <c r="M262" s="1"/>
      <c r="N262" s="1"/>
      <c r="O262" s="1"/>
    </row>
    <row r="263" spans="1:15" ht="13.45" customHeight="1" x14ac:dyDescent="0.2">
      <c r="A263" s="79"/>
      <c r="B263" s="106" t="s">
        <v>17</v>
      </c>
      <c r="C263" s="106" t="s">
        <v>139</v>
      </c>
      <c r="D263" s="106" t="s">
        <v>84</v>
      </c>
      <c r="E263" s="107">
        <v>14</v>
      </c>
      <c r="F263" s="108">
        <v>0</v>
      </c>
      <c r="G263" s="87" t="s">
        <v>285</v>
      </c>
      <c r="H263" s="91">
        <v>45953</v>
      </c>
      <c r="I263" s="90"/>
      <c r="J263" s="1"/>
      <c r="K263" s="1"/>
      <c r="L263" s="1"/>
      <c r="M263" s="1"/>
      <c r="N263" s="1"/>
      <c r="O263" s="1"/>
    </row>
    <row r="264" spans="1:15" ht="13.45" customHeight="1" x14ac:dyDescent="0.2">
      <c r="A264" s="79"/>
      <c r="B264" s="28" t="s">
        <v>17</v>
      </c>
      <c r="C264" s="28" t="s">
        <v>474</v>
      </c>
      <c r="D264" s="28" t="s">
        <v>23</v>
      </c>
      <c r="E264" s="29" t="s">
        <v>284</v>
      </c>
      <c r="F264" s="30">
        <v>19</v>
      </c>
      <c r="G264" s="87">
        <v>45953</v>
      </c>
      <c r="H264" s="91"/>
      <c r="I264" s="90"/>
      <c r="J264" s="1"/>
      <c r="K264" s="1"/>
      <c r="L264" s="1"/>
      <c r="M264" s="1"/>
      <c r="N264" s="1"/>
      <c r="O264" s="1"/>
    </row>
    <row r="265" spans="1:15" ht="13.45" customHeight="1" x14ac:dyDescent="0.2">
      <c r="A265" s="79"/>
      <c r="B265" s="106" t="s">
        <v>17</v>
      </c>
      <c r="C265" s="106" t="s">
        <v>141</v>
      </c>
      <c r="D265" s="106" t="s">
        <v>288</v>
      </c>
      <c r="E265" s="107">
        <v>14</v>
      </c>
      <c r="F265" s="108">
        <v>0</v>
      </c>
      <c r="G265" s="83" t="s">
        <v>285</v>
      </c>
      <c r="H265" s="91">
        <v>45897</v>
      </c>
      <c r="I265" s="90"/>
      <c r="J265" s="1"/>
      <c r="K265" s="1"/>
      <c r="L265" s="1"/>
      <c r="M265" s="1"/>
      <c r="N265" s="1"/>
      <c r="O265" s="1"/>
    </row>
    <row r="266" spans="1:15" ht="13.45" customHeight="1" x14ac:dyDescent="0.2">
      <c r="A266" s="79"/>
      <c r="B266" s="106" t="s">
        <v>17</v>
      </c>
      <c r="C266" s="106" t="s">
        <v>406</v>
      </c>
      <c r="D266" s="106" t="s">
        <v>73</v>
      </c>
      <c r="E266" s="107" t="s">
        <v>284</v>
      </c>
      <c r="F266" s="108">
        <v>7</v>
      </c>
      <c r="G266" s="87">
        <v>45897</v>
      </c>
      <c r="H266" s="91">
        <v>46002</v>
      </c>
      <c r="I266" s="90"/>
      <c r="J266" s="1"/>
      <c r="K266" s="1"/>
      <c r="L266" s="1"/>
      <c r="M266" s="1"/>
      <c r="N266" s="1"/>
      <c r="O266" s="1"/>
    </row>
    <row r="267" spans="1:15" ht="13.45" customHeight="1" x14ac:dyDescent="0.2">
      <c r="A267" s="79"/>
      <c r="B267" s="106" t="s">
        <v>17</v>
      </c>
      <c r="C267" s="106" t="s">
        <v>493</v>
      </c>
      <c r="D267" s="106" t="s">
        <v>80</v>
      </c>
      <c r="E267" s="107" t="s">
        <v>284</v>
      </c>
      <c r="F267" s="108">
        <v>0</v>
      </c>
      <c r="G267" s="87">
        <v>46002</v>
      </c>
      <c r="H267" s="91">
        <v>46107</v>
      </c>
      <c r="I267" s="90"/>
      <c r="J267" s="1"/>
      <c r="K267" s="1"/>
      <c r="L267" s="1"/>
      <c r="M267" s="1"/>
      <c r="N267" s="1"/>
      <c r="O267" s="1"/>
    </row>
    <row r="268" spans="1:15" ht="13.45" customHeight="1" thickBot="1" x14ac:dyDescent="0.25">
      <c r="A268" s="79"/>
      <c r="B268" s="28" t="s">
        <v>17</v>
      </c>
      <c r="C268" s="28" t="s">
        <v>242</v>
      </c>
      <c r="D268" s="28" t="s">
        <v>206</v>
      </c>
      <c r="E268" s="29" t="s">
        <v>284</v>
      </c>
      <c r="F268" s="30">
        <v>1</v>
      </c>
      <c r="G268" s="87">
        <v>46107</v>
      </c>
      <c r="H268" s="90"/>
      <c r="I268" s="90"/>
      <c r="J268" s="1"/>
      <c r="K268" s="1"/>
      <c r="L268" s="1"/>
      <c r="M268" s="1"/>
      <c r="N268" s="1"/>
      <c r="O268" s="1"/>
    </row>
    <row r="269" spans="1:15" ht="13.45" customHeight="1" thickBot="1" x14ac:dyDescent="0.25">
      <c r="A269" s="1"/>
      <c r="B269" s="33"/>
      <c r="C269" s="33"/>
      <c r="D269" s="34"/>
      <c r="E269" s="35">
        <f>SUM(E248:E268)</f>
        <v>100</v>
      </c>
      <c r="F269" s="36">
        <f>SUM(F251:F268)-SUM(F248:F250)</f>
        <v>33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5" customHeight="1" x14ac:dyDescent="0.2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5" customHeight="1" thickBot="1" x14ac:dyDescent="0.2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5" customHeight="1" x14ac:dyDescent="0.2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5" customHeight="1" thickBot="1" x14ac:dyDescent="0.2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5" customHeight="1" thickBot="1" x14ac:dyDescent="0.2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5" customHeight="1" thickBot="1" x14ac:dyDescent="0.2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5" customHeight="1" x14ac:dyDescent="0.2">
      <c r="A276" s="79"/>
      <c r="B276" s="12" t="s">
        <v>13</v>
      </c>
      <c r="C276" s="21"/>
      <c r="D276" s="21" t="s">
        <v>69</v>
      </c>
      <c r="E276" s="22" t="s">
        <v>284</v>
      </c>
      <c r="F276" s="21">
        <v>37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5" customHeight="1" x14ac:dyDescent="0.2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5" customHeight="1" x14ac:dyDescent="0.2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5" customHeight="1" x14ac:dyDescent="0.2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5" customHeight="1" x14ac:dyDescent="0.2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5" customHeight="1" x14ac:dyDescent="0.2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12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5" customHeight="1" x14ac:dyDescent="0.2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7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5" customHeight="1" x14ac:dyDescent="0.2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5" customHeight="1" x14ac:dyDescent="0.2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7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5" customHeight="1" x14ac:dyDescent="0.2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5" customHeight="1" x14ac:dyDescent="0.2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5" customHeight="1" x14ac:dyDescent="0.2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17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5" customHeight="1" x14ac:dyDescent="0.2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5" customHeight="1" x14ac:dyDescent="0.2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5" customHeight="1" x14ac:dyDescent="0.2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8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5" customHeight="1" x14ac:dyDescent="0.2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5" customHeight="1" x14ac:dyDescent="0.2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14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5" customHeight="1" x14ac:dyDescent="0.2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5" customHeight="1" x14ac:dyDescent="0.2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5" customHeight="1" thickBot="1" x14ac:dyDescent="0.2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5" customHeight="1" thickBot="1" x14ac:dyDescent="0.2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14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5" customHeight="1" x14ac:dyDescent="0.2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5" customHeight="1" x14ac:dyDescent="0.2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5" customHeight="1" thickBot="1" x14ac:dyDescent="0.2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5" customHeight="1" thickBot="1" x14ac:dyDescent="0.2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5" customHeight="1" x14ac:dyDescent="0.2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5" customHeight="1" x14ac:dyDescent="0.2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5" customHeight="1" x14ac:dyDescent="0.2">
      <c r="A304" s="79"/>
      <c r="B304" s="21" t="s">
        <v>13</v>
      </c>
      <c r="C304" s="21"/>
      <c r="D304" s="21" t="s">
        <v>64</v>
      </c>
      <c r="E304" s="22" t="s">
        <v>284</v>
      </c>
      <c r="F304" s="21">
        <v>46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5" customHeight="1" x14ac:dyDescent="0.2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1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5" customHeight="1" x14ac:dyDescent="0.2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5" customHeight="1" x14ac:dyDescent="0.2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5" customHeight="1" x14ac:dyDescent="0.2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7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5" customHeight="1" x14ac:dyDescent="0.2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5" customHeight="1" x14ac:dyDescent="0.2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14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5" customHeight="1" x14ac:dyDescent="0.2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5" customHeight="1" x14ac:dyDescent="0.2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7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5" customHeight="1" x14ac:dyDescent="0.2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38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5" customHeight="1" x14ac:dyDescent="0.2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5" customHeight="1" x14ac:dyDescent="0.2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5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5" customHeight="1" x14ac:dyDescent="0.2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5" customHeight="1" x14ac:dyDescent="0.2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5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5" customHeight="1" x14ac:dyDescent="0.2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5" customHeight="1" x14ac:dyDescent="0.2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5" customHeight="1" x14ac:dyDescent="0.2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4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5" customHeight="1" x14ac:dyDescent="0.2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5" customHeight="1" thickBot="1" x14ac:dyDescent="0.2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21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5" customHeight="1" thickBot="1" x14ac:dyDescent="0.25">
      <c r="A323" s="1"/>
      <c r="B323" s="33"/>
      <c r="C323" s="33"/>
      <c r="D323" s="34"/>
      <c r="E323" s="35">
        <f>SUM(E302:E322)</f>
        <v>86</v>
      </c>
      <c r="F323" s="36">
        <f>SUM(F305:F322)-SUM(F302:F304)</f>
        <v>57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5" customHeight="1" x14ac:dyDescent="0.2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5" customHeight="1" x14ac:dyDescent="0.2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5" customHeight="1" thickBot="1" x14ac:dyDescent="0.2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5" customHeight="1" thickBot="1" x14ac:dyDescent="0.2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5" customHeight="1" x14ac:dyDescent="0.2">
      <c r="A329" s="79"/>
      <c r="B329" s="12" t="s">
        <v>13</v>
      </c>
      <c r="C329" s="13"/>
      <c r="D329" s="12" t="s">
        <v>22</v>
      </c>
      <c r="E329" s="14">
        <v>1</v>
      </c>
      <c r="F329" s="15">
        <v>54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5" customHeight="1" x14ac:dyDescent="0.2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5" customHeight="1" x14ac:dyDescent="0.2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5" customHeight="1" x14ac:dyDescent="0.2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6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5" customHeight="1" x14ac:dyDescent="0.2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5" customHeight="1" x14ac:dyDescent="0.2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5" customHeight="1" x14ac:dyDescent="0.2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5" customHeight="1" x14ac:dyDescent="0.2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3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5" customHeight="1" x14ac:dyDescent="0.2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5" customHeight="1" x14ac:dyDescent="0.2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1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5" customHeight="1" x14ac:dyDescent="0.2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5" customHeight="1" x14ac:dyDescent="0.2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5" customHeight="1" x14ac:dyDescent="0.2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5" customHeight="1" x14ac:dyDescent="0.2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5" customHeight="1" x14ac:dyDescent="0.2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16</v>
      </c>
      <c r="G343" s="87"/>
      <c r="H343" s="91"/>
      <c r="I343" s="90"/>
      <c r="J343" s="1"/>
      <c r="N343" s="1"/>
      <c r="O343" s="1"/>
    </row>
    <row r="344" spans="1:15" ht="13.45" customHeight="1" x14ac:dyDescent="0.2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5" customHeight="1" x14ac:dyDescent="0.2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5" customHeight="1" x14ac:dyDescent="0.2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13</v>
      </c>
      <c r="G346" s="83"/>
      <c r="H346" s="91"/>
      <c r="I346" s="90"/>
      <c r="J346" s="1"/>
      <c r="N346" s="1"/>
      <c r="O346" s="1"/>
    </row>
    <row r="347" spans="1:15" ht="13.45" customHeight="1" x14ac:dyDescent="0.2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5" customHeight="1" x14ac:dyDescent="0.2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5" customHeight="1" thickBot="1" x14ac:dyDescent="0.2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5" customHeight="1" thickBot="1" x14ac:dyDescent="0.25">
      <c r="A350" s="1"/>
      <c r="B350" s="33"/>
      <c r="C350" s="33"/>
      <c r="D350" s="34"/>
      <c r="E350" s="35">
        <f>SUM(E329:E349)</f>
        <v>11</v>
      </c>
      <c r="F350" s="36">
        <f>SUM(F332:F349)-SUM(F329:F331)</f>
        <v>11</v>
      </c>
      <c r="G350" s="83"/>
      <c r="H350" s="90"/>
      <c r="I350" s="90"/>
      <c r="J350" s="1"/>
      <c r="N350" s="1"/>
      <c r="O350" s="1"/>
    </row>
    <row r="351" spans="1:15" ht="13.45" customHeight="1" x14ac:dyDescent="0.2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5" customHeight="1" x14ac:dyDescent="0.2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5" customHeight="1" thickBot="1" x14ac:dyDescent="0.2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5" customHeight="1" thickBot="1" x14ac:dyDescent="0.2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5" customHeight="1" x14ac:dyDescent="0.2">
      <c r="B356" s="12" t="s">
        <v>13</v>
      </c>
      <c r="C356" s="13"/>
      <c r="D356" s="12" t="s">
        <v>80</v>
      </c>
      <c r="E356" s="14">
        <v>5</v>
      </c>
      <c r="F356" s="15">
        <v>51</v>
      </c>
      <c r="G356" s="1"/>
      <c r="H356" s="103"/>
      <c r="I356" s="1"/>
      <c r="J356" s="1"/>
    </row>
    <row r="357" spans="2:10" ht="13.45" customHeight="1" x14ac:dyDescent="0.2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5" customHeight="1" x14ac:dyDescent="0.2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5" customHeight="1" x14ac:dyDescent="0.2">
      <c r="B359" s="28" t="s">
        <v>14</v>
      </c>
      <c r="C359" s="28" t="s">
        <v>135</v>
      </c>
      <c r="D359" s="28" t="s">
        <v>84</v>
      </c>
      <c r="E359" s="29">
        <v>4</v>
      </c>
      <c r="F359" s="30">
        <v>5</v>
      </c>
      <c r="G359" s="1"/>
      <c r="H359" s="1"/>
      <c r="I359" s="1"/>
      <c r="J359" s="1"/>
    </row>
    <row r="360" spans="2:10" ht="13.45" customHeight="1" x14ac:dyDescent="0.2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5" customHeight="1" x14ac:dyDescent="0.2">
      <c r="B361" s="28" t="s">
        <v>16</v>
      </c>
      <c r="C361" s="28" t="s">
        <v>247</v>
      </c>
      <c r="D361" s="28" t="s">
        <v>18</v>
      </c>
      <c r="E361" s="29">
        <v>32</v>
      </c>
      <c r="F361" s="30">
        <v>11</v>
      </c>
      <c r="G361" s="1"/>
      <c r="H361" s="1"/>
      <c r="I361" s="1"/>
      <c r="J361" s="1"/>
    </row>
    <row r="362" spans="2:10" ht="13.45" customHeight="1" x14ac:dyDescent="0.2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5" customHeight="1" x14ac:dyDescent="0.2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5" customHeight="1" x14ac:dyDescent="0.2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3</v>
      </c>
      <c r="G364" s="103">
        <v>46086</v>
      </c>
      <c r="H364" s="103"/>
      <c r="I364" s="1"/>
      <c r="J364" s="1"/>
    </row>
    <row r="365" spans="2:10" ht="13.45" customHeight="1" x14ac:dyDescent="0.2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5" customHeight="1" x14ac:dyDescent="0.2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4</v>
      </c>
      <c r="G366" s="103">
        <v>45904</v>
      </c>
      <c r="H366" s="103"/>
      <c r="I366" s="1"/>
      <c r="J366" s="1"/>
    </row>
    <row r="367" spans="2:10" ht="13.45" customHeight="1" x14ac:dyDescent="0.2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5" customHeight="1" x14ac:dyDescent="0.2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5" customHeight="1" x14ac:dyDescent="0.2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5" customHeight="1" x14ac:dyDescent="0.2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18</v>
      </c>
      <c r="G370" s="103"/>
      <c r="H370" s="1"/>
      <c r="I370" s="1"/>
      <c r="J370" s="1"/>
    </row>
    <row r="371" spans="2:10" ht="13.45" customHeight="1" x14ac:dyDescent="0.2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5" customHeight="1" x14ac:dyDescent="0.2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5" customHeight="1" x14ac:dyDescent="0.2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3</v>
      </c>
      <c r="G373" s="103">
        <v>46086</v>
      </c>
      <c r="H373" s="103"/>
      <c r="I373" s="1"/>
      <c r="J373" s="1"/>
    </row>
    <row r="374" spans="2:10" ht="13.45" customHeight="1" x14ac:dyDescent="0.2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5" customHeight="1" x14ac:dyDescent="0.2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5" customHeight="1" thickBot="1" x14ac:dyDescent="0.2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8</v>
      </c>
      <c r="G376" s="103">
        <v>45939</v>
      </c>
      <c r="H376" s="1"/>
      <c r="I376" s="1"/>
      <c r="J376" s="1"/>
    </row>
    <row r="377" spans="2:10" ht="13.45" customHeight="1" thickBot="1" x14ac:dyDescent="0.25">
      <c r="B377" s="33"/>
      <c r="C377" s="33"/>
      <c r="D377" s="34"/>
      <c r="E377" s="35">
        <f>SUM(E356:E376)</f>
        <v>93</v>
      </c>
      <c r="F377" s="36">
        <f>SUM(F359:F376)-SUM(F356:F358)</f>
        <v>22</v>
      </c>
      <c r="G377" s="1"/>
      <c r="H377" s="1"/>
      <c r="I377" s="1"/>
      <c r="J377" s="1"/>
    </row>
    <row r="380" spans="2:10" ht="13.45" customHeight="1" x14ac:dyDescent="0.2">
      <c r="B380" s="1"/>
      <c r="C380" s="3" t="s">
        <v>111</v>
      </c>
      <c r="D380" s="3" t="s">
        <v>112</v>
      </c>
      <c r="E380" s="2"/>
      <c r="F380" s="1"/>
    </row>
    <row r="381" spans="2:10" ht="13.45" customHeight="1" thickBot="1" x14ac:dyDescent="0.25">
      <c r="B381" s="4"/>
      <c r="C381" s="4"/>
      <c r="D381" s="4"/>
      <c r="E381" s="5"/>
      <c r="F381" s="4"/>
    </row>
    <row r="382" spans="2:10" ht="13.45" customHeight="1" thickBot="1" x14ac:dyDescent="0.2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5" customHeight="1" x14ac:dyDescent="0.2">
      <c r="B383" s="12" t="s">
        <v>13</v>
      </c>
      <c r="C383" s="13"/>
      <c r="D383" s="12"/>
      <c r="E383" s="14"/>
      <c r="F383" s="15"/>
    </row>
    <row r="384" spans="2:10" ht="13.45" customHeight="1" x14ac:dyDescent="0.2">
      <c r="B384" s="21"/>
      <c r="C384" s="21"/>
      <c r="D384" s="21"/>
      <c r="E384" s="22"/>
      <c r="F384" s="21"/>
    </row>
    <row r="385" spans="2:6" ht="13.45" customHeight="1" x14ac:dyDescent="0.2">
      <c r="B385" s="21"/>
      <c r="C385" s="21"/>
      <c r="D385" s="21"/>
      <c r="E385" s="22"/>
      <c r="F385" s="21"/>
    </row>
    <row r="386" spans="2:6" ht="13.45" customHeight="1" x14ac:dyDescent="0.2">
      <c r="B386" s="28" t="s">
        <v>14</v>
      </c>
      <c r="C386" s="28"/>
      <c r="D386" s="28"/>
      <c r="E386" s="29"/>
      <c r="F386" s="30"/>
    </row>
    <row r="387" spans="2:6" ht="13.45" customHeight="1" x14ac:dyDescent="0.2">
      <c r="B387" s="28" t="s">
        <v>14</v>
      </c>
      <c r="C387" s="28"/>
      <c r="D387" s="28"/>
      <c r="E387" s="29"/>
      <c r="F387" s="30"/>
    </row>
    <row r="388" spans="2:6" ht="13.45" customHeight="1" x14ac:dyDescent="0.2">
      <c r="B388" s="28"/>
      <c r="C388" s="28"/>
      <c r="D388" s="28"/>
      <c r="E388" s="29"/>
      <c r="F388" s="30"/>
    </row>
    <row r="389" spans="2:6" ht="13.45" customHeight="1" x14ac:dyDescent="0.2">
      <c r="B389" s="28" t="s">
        <v>16</v>
      </c>
      <c r="C389" s="28"/>
      <c r="D389" s="28"/>
      <c r="E389" s="29"/>
      <c r="F389" s="30"/>
    </row>
    <row r="390" spans="2:6" ht="13.45" customHeight="1" x14ac:dyDescent="0.2">
      <c r="B390" s="28" t="s">
        <v>16</v>
      </c>
      <c r="C390" s="28"/>
      <c r="D390" s="28"/>
      <c r="E390" s="29"/>
      <c r="F390" s="30"/>
    </row>
    <row r="391" spans="2:6" ht="13.45" customHeight="1" x14ac:dyDescent="0.2">
      <c r="B391" s="28" t="s">
        <v>16</v>
      </c>
      <c r="C391" s="28"/>
      <c r="D391" s="28"/>
      <c r="E391" s="29"/>
      <c r="F391" s="30"/>
    </row>
    <row r="392" spans="2:6" ht="13.45" customHeight="1" x14ac:dyDescent="0.2">
      <c r="B392" s="28"/>
      <c r="C392" s="28"/>
      <c r="D392" s="28"/>
      <c r="E392" s="29"/>
      <c r="F392" s="30"/>
    </row>
    <row r="393" spans="2:6" ht="13.45" customHeight="1" x14ac:dyDescent="0.2">
      <c r="B393" s="28"/>
      <c r="C393" s="28"/>
      <c r="D393" s="28"/>
      <c r="E393" s="29"/>
      <c r="F393" s="30"/>
    </row>
    <row r="394" spans="2:6" ht="13.45" customHeight="1" x14ac:dyDescent="0.2">
      <c r="B394" s="28"/>
      <c r="C394" s="28"/>
      <c r="D394" s="28"/>
      <c r="E394" s="29"/>
      <c r="F394" s="30"/>
    </row>
    <row r="395" spans="2:6" ht="13.45" customHeight="1" x14ac:dyDescent="0.2">
      <c r="B395" s="28" t="s">
        <v>17</v>
      </c>
      <c r="C395" s="28"/>
      <c r="D395" s="28"/>
      <c r="E395" s="29"/>
      <c r="F395" s="30"/>
    </row>
    <row r="396" spans="2:6" ht="13.45" customHeight="1" x14ac:dyDescent="0.2">
      <c r="B396" s="28" t="s">
        <v>17</v>
      </c>
      <c r="C396" s="28"/>
      <c r="D396" s="28"/>
      <c r="E396" s="29"/>
      <c r="F396" s="30"/>
    </row>
    <row r="397" spans="2:6" ht="13.45" customHeight="1" x14ac:dyDescent="0.2">
      <c r="B397" s="28" t="s">
        <v>17</v>
      </c>
      <c r="C397" s="28"/>
      <c r="D397" s="28"/>
      <c r="E397" s="29"/>
      <c r="F397" s="30"/>
    </row>
    <row r="398" spans="2:6" ht="13.45" customHeight="1" x14ac:dyDescent="0.2">
      <c r="B398" s="28" t="s">
        <v>17</v>
      </c>
      <c r="C398" s="28"/>
      <c r="D398" s="28"/>
      <c r="E398" s="29"/>
      <c r="F398" s="30"/>
    </row>
    <row r="399" spans="2:6" ht="13.45" customHeight="1" x14ac:dyDescent="0.2">
      <c r="B399" s="28" t="s">
        <v>17</v>
      </c>
      <c r="C399" s="28"/>
      <c r="D399" s="28"/>
      <c r="E399" s="29"/>
      <c r="F399" s="30"/>
    </row>
    <row r="400" spans="2:6" ht="13.45" customHeight="1" x14ac:dyDescent="0.2">
      <c r="B400" s="28"/>
      <c r="C400" s="28"/>
      <c r="D400" s="28"/>
      <c r="E400" s="29"/>
      <c r="F400" s="30"/>
    </row>
    <row r="401" spans="2:6" ht="13.45" customHeight="1" x14ac:dyDescent="0.2">
      <c r="B401" s="28"/>
      <c r="C401" s="28"/>
      <c r="D401" s="28"/>
      <c r="E401" s="29"/>
      <c r="F401" s="30"/>
    </row>
    <row r="402" spans="2:6" ht="13.45" customHeight="1" x14ac:dyDescent="0.2">
      <c r="B402" s="28"/>
      <c r="C402" s="28"/>
      <c r="D402" s="28"/>
      <c r="E402" s="29"/>
      <c r="F402" s="30"/>
    </row>
    <row r="403" spans="2:6" ht="13.45" customHeight="1" thickBot="1" x14ac:dyDescent="0.25">
      <c r="B403" s="28"/>
      <c r="C403" s="28"/>
      <c r="D403" s="28"/>
      <c r="E403" s="29"/>
      <c r="F403" s="30"/>
    </row>
    <row r="404" spans="2:6" ht="13.45" customHeight="1" thickBot="1" x14ac:dyDescent="0.2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workbookViewId="0">
      <selection activeCell="G24" sqref="G24"/>
    </sheetView>
  </sheetViews>
  <sheetFormatPr defaultColWidth="9" defaultRowHeight="12.8" customHeight="1" x14ac:dyDescent="0.25"/>
  <cols>
    <col min="1" max="1" width="1.28515625" style="38" customWidth="1"/>
    <col min="2" max="2" width="11.85546875" style="38" customWidth="1"/>
    <col min="3" max="3" width="31" style="38" customWidth="1"/>
    <col min="4" max="4" width="35.2851562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6" customHeight="1" x14ac:dyDescent="0.25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6" customHeight="1" x14ac:dyDescent="0.25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6" customHeight="1" x14ac:dyDescent="0.25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6" customHeight="1" x14ac:dyDescent="0.25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" customHeight="1" thickBot="1" x14ac:dyDescent="0.3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" customHeight="1" x14ac:dyDescent="0.25">
      <c r="A7" s="47"/>
      <c r="B7" s="54">
        <v>1</v>
      </c>
      <c r="C7" s="3" t="s">
        <v>98</v>
      </c>
      <c r="D7" s="55" t="s">
        <v>233</v>
      </c>
      <c r="E7" s="25">
        <v>57</v>
      </c>
      <c r="F7" s="56">
        <v>123</v>
      </c>
      <c r="G7" s="57">
        <v>66</v>
      </c>
      <c r="H7" s="117"/>
      <c r="I7" s="41"/>
      <c r="J7" s="41"/>
      <c r="K7" s="41"/>
    </row>
    <row r="8" spans="1:11" ht="13.6" customHeight="1" x14ac:dyDescent="0.25">
      <c r="A8" s="47"/>
      <c r="B8" s="54">
        <v>2</v>
      </c>
      <c r="C8" s="3" t="s">
        <v>51</v>
      </c>
      <c r="D8" s="24" t="s">
        <v>203</v>
      </c>
      <c r="E8" s="25">
        <v>42</v>
      </c>
      <c r="F8" s="26">
        <v>95</v>
      </c>
      <c r="G8" s="27">
        <v>53</v>
      </c>
      <c r="H8" s="52"/>
      <c r="I8" s="41"/>
      <c r="J8" s="41"/>
      <c r="K8" s="41"/>
    </row>
    <row r="9" spans="1:11" ht="13.6" customHeight="1" x14ac:dyDescent="0.25">
      <c r="A9" s="47"/>
      <c r="B9" s="54">
        <v>3</v>
      </c>
      <c r="C9" s="3" t="s">
        <v>21</v>
      </c>
      <c r="D9" s="24" t="s">
        <v>188</v>
      </c>
      <c r="E9" s="25">
        <v>41</v>
      </c>
      <c r="F9" s="26">
        <v>104</v>
      </c>
      <c r="G9" s="27">
        <v>63</v>
      </c>
      <c r="H9" s="52"/>
      <c r="I9" s="41"/>
      <c r="J9" s="41"/>
      <c r="K9" s="41"/>
    </row>
    <row r="10" spans="1:11" ht="13.6" customHeight="1" x14ac:dyDescent="0.25">
      <c r="A10" s="47"/>
      <c r="B10" s="54">
        <v>4</v>
      </c>
      <c r="C10" s="3" t="s">
        <v>32</v>
      </c>
      <c r="D10" s="24" t="s">
        <v>31</v>
      </c>
      <c r="E10" s="25">
        <v>38</v>
      </c>
      <c r="F10" s="26">
        <v>106</v>
      </c>
      <c r="G10" s="27">
        <v>68</v>
      </c>
      <c r="H10" s="117"/>
      <c r="I10" s="41"/>
      <c r="J10" s="41"/>
      <c r="K10" s="53"/>
    </row>
    <row r="11" spans="1:11" ht="13.6" customHeight="1" x14ac:dyDescent="0.25">
      <c r="A11" s="47"/>
      <c r="B11" s="54">
        <v>5</v>
      </c>
      <c r="C11" s="3" t="s">
        <v>2</v>
      </c>
      <c r="D11" s="55" t="s">
        <v>1</v>
      </c>
      <c r="E11" s="25">
        <v>37</v>
      </c>
      <c r="F11" s="26">
        <v>79</v>
      </c>
      <c r="G11" s="27">
        <v>42</v>
      </c>
      <c r="H11" s="117"/>
      <c r="I11" s="41"/>
      <c r="J11" s="41"/>
      <c r="K11" s="41"/>
    </row>
    <row r="12" spans="1:11" ht="13.6" customHeight="1" x14ac:dyDescent="0.25">
      <c r="A12" s="47"/>
      <c r="B12" s="54">
        <v>6</v>
      </c>
      <c r="C12" s="3" t="s">
        <v>27</v>
      </c>
      <c r="D12" s="24" t="s">
        <v>15</v>
      </c>
      <c r="E12" s="25">
        <v>36</v>
      </c>
      <c r="F12" s="26">
        <v>90</v>
      </c>
      <c r="G12" s="27">
        <v>54</v>
      </c>
      <c r="H12" s="52"/>
      <c r="I12" s="41"/>
      <c r="J12" s="41"/>
      <c r="K12" s="41"/>
    </row>
    <row r="13" spans="1:11" ht="13.6" customHeight="1" x14ac:dyDescent="0.25">
      <c r="A13" s="47"/>
      <c r="B13" s="54">
        <v>7</v>
      </c>
      <c r="C13" s="3" t="s">
        <v>55</v>
      </c>
      <c r="D13" s="24" t="s">
        <v>222</v>
      </c>
      <c r="E13" s="25">
        <v>33</v>
      </c>
      <c r="F13" s="26">
        <v>98</v>
      </c>
      <c r="G13" s="27">
        <v>65</v>
      </c>
      <c r="H13" s="117"/>
      <c r="I13" s="41"/>
      <c r="J13" s="41"/>
      <c r="K13" s="41"/>
    </row>
    <row r="14" spans="1:11" ht="13.6" customHeight="1" x14ac:dyDescent="0.25">
      <c r="A14" s="47"/>
      <c r="B14" s="54">
        <v>8</v>
      </c>
      <c r="C14" s="3" t="s">
        <v>25</v>
      </c>
      <c r="D14" s="55" t="s">
        <v>198</v>
      </c>
      <c r="E14" s="25">
        <v>33</v>
      </c>
      <c r="F14" s="56">
        <v>84</v>
      </c>
      <c r="G14" s="57">
        <v>51</v>
      </c>
      <c r="H14" s="117"/>
      <c r="I14" s="41"/>
      <c r="J14" s="41"/>
      <c r="K14" s="41"/>
    </row>
    <row r="15" spans="1:11" ht="13.6" customHeight="1" x14ac:dyDescent="0.25">
      <c r="A15" s="47"/>
      <c r="B15" s="54">
        <v>9</v>
      </c>
      <c r="C15" s="3" t="s">
        <v>54</v>
      </c>
      <c r="D15" s="55" t="s">
        <v>267</v>
      </c>
      <c r="E15" s="25">
        <v>24</v>
      </c>
      <c r="F15" s="26">
        <v>97</v>
      </c>
      <c r="G15" s="27">
        <v>73</v>
      </c>
      <c r="H15" s="117"/>
      <c r="I15" s="41"/>
      <c r="J15" s="41"/>
      <c r="K15" s="41"/>
    </row>
    <row r="16" spans="1:11" ht="13.6" customHeight="1" x14ac:dyDescent="0.25">
      <c r="A16" s="47"/>
      <c r="B16" s="54">
        <v>10</v>
      </c>
      <c r="C16" s="3" t="s">
        <v>244</v>
      </c>
      <c r="D16" s="55" t="s">
        <v>245</v>
      </c>
      <c r="E16" s="25">
        <v>22</v>
      </c>
      <c r="F16" s="56">
        <v>73</v>
      </c>
      <c r="G16" s="57">
        <v>51</v>
      </c>
      <c r="H16" s="52"/>
      <c r="I16" s="41"/>
      <c r="J16" s="41"/>
      <c r="K16" s="41"/>
    </row>
    <row r="17" spans="1:11" ht="12.8" customHeight="1" x14ac:dyDescent="0.25">
      <c r="A17" s="47"/>
      <c r="B17" s="54">
        <v>11</v>
      </c>
      <c r="C17" s="3" t="s">
        <v>35</v>
      </c>
      <c r="D17" s="55" t="s">
        <v>34</v>
      </c>
      <c r="E17" s="25">
        <v>17</v>
      </c>
      <c r="F17" s="26">
        <v>69</v>
      </c>
      <c r="G17" s="27">
        <v>52</v>
      </c>
      <c r="H17" s="52"/>
      <c r="I17" s="41"/>
      <c r="J17" s="41"/>
      <c r="K17" s="41"/>
    </row>
    <row r="18" spans="1:11" ht="12.8" customHeight="1" x14ac:dyDescent="0.25">
      <c r="A18" s="47"/>
      <c r="B18" s="54">
        <v>11</v>
      </c>
      <c r="C18" s="3" t="s">
        <v>117</v>
      </c>
      <c r="D18" s="24" t="s">
        <v>140</v>
      </c>
      <c r="E18" s="25">
        <v>14</v>
      </c>
      <c r="F18" s="26">
        <v>78</v>
      </c>
      <c r="G18" s="27">
        <v>64</v>
      </c>
      <c r="H18" s="52"/>
      <c r="I18" s="41"/>
      <c r="J18" s="41"/>
      <c r="K18" s="41"/>
    </row>
    <row r="19" spans="1:11" ht="12.8" customHeight="1" x14ac:dyDescent="0.25">
      <c r="A19" s="47"/>
      <c r="B19" s="54">
        <v>13</v>
      </c>
      <c r="C19" s="3" t="s">
        <v>66</v>
      </c>
      <c r="D19" s="24" t="s">
        <v>243</v>
      </c>
      <c r="E19" s="25">
        <v>11</v>
      </c>
      <c r="F19" s="26">
        <v>65</v>
      </c>
      <c r="G19" s="27">
        <v>54</v>
      </c>
      <c r="H19" s="52"/>
      <c r="I19" s="41"/>
      <c r="J19" s="41"/>
      <c r="K19" s="41"/>
    </row>
    <row r="20" spans="1:11" ht="14.1" customHeight="1" thickBot="1" x14ac:dyDescent="0.3">
      <c r="A20" s="47"/>
      <c r="B20" s="54">
        <v>14</v>
      </c>
      <c r="C20" s="3" t="s">
        <v>52</v>
      </c>
      <c r="D20" s="24" t="s">
        <v>53</v>
      </c>
      <c r="E20" s="25">
        <v>5</v>
      </c>
      <c r="F20" s="26">
        <v>68</v>
      </c>
      <c r="G20" s="27">
        <v>63</v>
      </c>
      <c r="H20" s="117"/>
      <c r="I20" s="41"/>
      <c r="J20" s="41"/>
      <c r="K20" s="41"/>
    </row>
    <row r="21" spans="1:11" ht="14.1" customHeight="1" x14ac:dyDescent="0.25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6" customHeight="1" x14ac:dyDescent="0.25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topLeftCell="A17" workbookViewId="0">
      <selection activeCell="C34" sqref="C34"/>
    </sheetView>
  </sheetViews>
  <sheetFormatPr defaultColWidth="8.85546875" defaultRowHeight="12.8" customHeight="1" x14ac:dyDescent="0.25"/>
  <cols>
    <col min="2" max="2" width="33.28515625" style="38" customWidth="1"/>
    <col min="3" max="3" width="10.140625" style="38" customWidth="1"/>
    <col min="4" max="4" width="9.28515625" style="38" customWidth="1"/>
    <col min="5" max="5" width="31.28515625" style="38" customWidth="1"/>
    <col min="6" max="7" width="9.28515625" style="38" customWidth="1"/>
    <col min="8" max="257" width="8.85546875" style="38" customWidth="1"/>
  </cols>
  <sheetData>
    <row r="1" spans="1:10" ht="13.6" customHeight="1" x14ac:dyDescent="0.25">
      <c r="B1" s="62" t="s">
        <v>253</v>
      </c>
      <c r="C1" s="40"/>
      <c r="D1" s="40"/>
      <c r="E1" s="40"/>
      <c r="F1" s="40"/>
      <c r="G1" s="40"/>
    </row>
    <row r="2" spans="1:10" ht="13.6" customHeight="1" x14ac:dyDescent="0.25">
      <c r="B2" s="40"/>
      <c r="C2" s="40"/>
      <c r="D2" s="40"/>
      <c r="E2" s="40"/>
      <c r="F2" s="40"/>
      <c r="G2" s="40"/>
    </row>
    <row r="3" spans="1:10" ht="13.6" customHeight="1" x14ac:dyDescent="0.25">
      <c r="B3" s="63" t="s">
        <v>38</v>
      </c>
      <c r="C3" s="40"/>
      <c r="D3" s="40"/>
      <c r="E3" s="40"/>
      <c r="F3" s="40"/>
      <c r="G3" s="40"/>
    </row>
    <row r="4" spans="1:10" ht="13.6" customHeight="1" x14ac:dyDescent="0.25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6" customHeight="1" x14ac:dyDescent="0.25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6" customHeight="1" x14ac:dyDescent="0.25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6" customHeight="1" x14ac:dyDescent="0.25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6" customHeight="1" x14ac:dyDescent="0.25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6" customHeight="1" x14ac:dyDescent="0.25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6" customHeight="1" x14ac:dyDescent="0.25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6" customHeight="1" x14ac:dyDescent="0.2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6" customHeight="1" x14ac:dyDescent="0.25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6" customHeight="1" x14ac:dyDescent="0.25">
      <c r="A13" s="67"/>
      <c r="B13" s="65"/>
      <c r="C13" s="68"/>
      <c r="D13" s="64"/>
      <c r="E13" s="65"/>
      <c r="F13" s="68"/>
      <c r="G13" s="64"/>
    </row>
    <row r="14" spans="1:10" ht="13.6" customHeight="1" x14ac:dyDescent="0.25">
      <c r="A14" s="67"/>
      <c r="B14" s="63" t="s">
        <v>62</v>
      </c>
      <c r="C14" s="68"/>
      <c r="D14" s="64"/>
      <c r="E14" s="70"/>
      <c r="F14" s="69"/>
      <c r="G14" s="100"/>
    </row>
    <row r="15" spans="1:10" ht="13.6" customHeight="1" x14ac:dyDescent="0.25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6" customHeight="1" x14ac:dyDescent="0.25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6" customHeight="1" x14ac:dyDescent="0.25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6" customHeight="1" x14ac:dyDescent="0.25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6" customHeight="1" x14ac:dyDescent="0.25">
      <c r="B19" s="63"/>
      <c r="C19" s="64"/>
      <c r="D19" s="64"/>
      <c r="E19" s="65"/>
      <c r="F19" s="66"/>
      <c r="G19" s="40"/>
    </row>
    <row r="20" spans="1:7" ht="13.6" customHeight="1" x14ac:dyDescent="0.25">
      <c r="A20" s="67"/>
      <c r="B20" s="63" t="s">
        <v>535</v>
      </c>
      <c r="C20" s="68"/>
      <c r="D20" s="64"/>
      <c r="E20" s="65"/>
      <c r="F20" s="68"/>
      <c r="G20" s="64"/>
    </row>
    <row r="21" spans="1:7" ht="13.6" customHeight="1" x14ac:dyDescent="0.25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6" customHeight="1" x14ac:dyDescent="0.25">
      <c r="B22" s="65"/>
      <c r="C22" s="64"/>
      <c r="D22" s="61"/>
      <c r="E22" s="40"/>
      <c r="F22" s="66"/>
      <c r="G22" s="40"/>
    </row>
    <row r="23" spans="1:7" ht="13.6" customHeight="1" x14ac:dyDescent="0.25">
      <c r="B23" s="63" t="s">
        <v>39</v>
      </c>
      <c r="C23" s="66"/>
      <c r="D23" s="61"/>
      <c r="E23" s="40"/>
      <c r="F23" s="66"/>
      <c r="G23" s="40"/>
    </row>
    <row r="24" spans="1:7" ht="13.6" customHeight="1" x14ac:dyDescent="0.25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6" customHeight="1" x14ac:dyDescent="0.25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6" customHeight="1" x14ac:dyDescent="0.25">
      <c r="A26" s="67"/>
      <c r="B26" s="65"/>
      <c r="C26" s="68"/>
      <c r="D26" s="64"/>
      <c r="E26" s="70"/>
      <c r="F26" s="69"/>
      <c r="G26" s="100"/>
    </row>
    <row r="27" spans="1:7" ht="13.6" customHeight="1" x14ac:dyDescent="0.25">
      <c r="A27" s="67"/>
      <c r="B27" s="63" t="s">
        <v>543</v>
      </c>
      <c r="C27" s="68"/>
      <c r="D27" s="64"/>
      <c r="E27" s="65"/>
      <c r="F27" s="68"/>
      <c r="G27" s="64"/>
    </row>
    <row r="28" spans="1:7" ht="13.6" customHeight="1" x14ac:dyDescent="0.25">
      <c r="A28" s="67" t="s">
        <v>255</v>
      </c>
      <c r="B28" s="68" t="s">
        <v>1</v>
      </c>
      <c r="C28" s="64">
        <v>1</v>
      </c>
      <c r="D28" s="64" t="s">
        <v>433</v>
      </c>
      <c r="E28" s="69" t="s">
        <v>15</v>
      </c>
      <c r="F28" s="100">
        <v>0</v>
      </c>
      <c r="G28" s="100" t="s">
        <v>462</v>
      </c>
    </row>
    <row r="29" spans="1:7" ht="13.6" customHeight="1" x14ac:dyDescent="0.25">
      <c r="B29" s="65"/>
      <c r="C29" s="65"/>
      <c r="D29" s="64"/>
      <c r="E29" s="65"/>
      <c r="F29" s="40"/>
      <c r="G29" s="40"/>
    </row>
    <row r="30" spans="1:7" ht="13.6" customHeight="1" x14ac:dyDescent="0.25">
      <c r="B30" s="63" t="s">
        <v>40</v>
      </c>
      <c r="C30" s="65"/>
      <c r="D30" s="64"/>
      <c r="E30" s="65"/>
      <c r="F30" s="40"/>
      <c r="G30" s="40"/>
    </row>
    <row r="31" spans="1:7" ht="13.6" customHeight="1" x14ac:dyDescent="0.25">
      <c r="A31" s="67" t="s">
        <v>256</v>
      </c>
      <c r="B31" s="65" t="s">
        <v>222</v>
      </c>
      <c r="C31" s="64">
        <v>3</v>
      </c>
      <c r="D31" s="64" t="s">
        <v>524</v>
      </c>
      <c r="E31" s="70" t="s">
        <v>1</v>
      </c>
      <c r="F31" s="100">
        <v>1</v>
      </c>
      <c r="G31" s="100" t="s">
        <v>434</v>
      </c>
    </row>
    <row r="32" spans="1:7" ht="13.6" customHeight="1" x14ac:dyDescent="0.25">
      <c r="B32" s="40"/>
      <c r="C32" s="40"/>
      <c r="D32" s="64"/>
      <c r="E32" s="40"/>
      <c r="F32" s="40"/>
      <c r="G32" s="40"/>
    </row>
    <row r="33" spans="2:11" ht="13.6" customHeight="1" x14ac:dyDescent="0.25">
      <c r="B33" s="63" t="s">
        <v>41</v>
      </c>
      <c r="C33" s="40"/>
      <c r="D33" s="40"/>
      <c r="E33" s="40"/>
      <c r="F33" s="40"/>
      <c r="G33" s="40"/>
      <c r="K33" s="98"/>
    </row>
    <row r="34" spans="2:11" ht="12.8" customHeight="1" x14ac:dyDescent="0.25">
      <c r="B34" s="65" t="s">
        <v>222</v>
      </c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12" workbookViewId="0">
      <selection activeCell="E39" sqref="E39"/>
    </sheetView>
  </sheetViews>
  <sheetFormatPr defaultRowHeight="13.1" x14ac:dyDescent="0.25"/>
  <cols>
    <col min="2" max="2" width="25.7109375" customWidth="1"/>
    <col min="5" max="5" width="35.28515625" customWidth="1"/>
  </cols>
  <sheetData>
    <row r="1" spans="1:24" x14ac:dyDescent="0.25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25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x14ac:dyDescent="0.2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25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25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25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25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25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25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25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25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25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x14ac:dyDescent="0.2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25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x14ac:dyDescent="0.2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25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25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25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25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25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25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25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25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25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x14ac:dyDescent="0.2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25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25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25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25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25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x14ac:dyDescent="0.2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25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25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25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x14ac:dyDescent="0.2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25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25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x14ac:dyDescent="0.2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25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25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25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25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25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25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25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25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25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25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25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25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25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25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25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25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25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25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25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25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25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25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25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25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25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25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25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25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25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25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C6" activeCellId="2" sqref="C13 C7 C6"/>
    </sheetView>
  </sheetViews>
  <sheetFormatPr defaultRowHeight="13.1" x14ac:dyDescent="0.25"/>
  <cols>
    <col min="2" max="2" width="14.85546875" customWidth="1"/>
    <col min="6" max="6" width="13.42578125" customWidth="1"/>
    <col min="10" max="10" width="17.140625" customWidth="1"/>
    <col min="14" max="14" width="16.7109375" customWidth="1"/>
  </cols>
  <sheetData>
    <row r="5" spans="2:17" x14ac:dyDescent="0.25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25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25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25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25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25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3</v>
      </c>
      <c r="Q10" s="109"/>
    </row>
    <row r="11" spans="2:17" x14ac:dyDescent="0.25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25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25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25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25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25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25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4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25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25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25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25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25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25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25">
      <c r="B24" t="s">
        <v>314</v>
      </c>
      <c r="C24">
        <f>COUNTIF(Stats!D:D,'Player Count'!B24)</f>
        <v>2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4</v>
      </c>
      <c r="Q24" s="109"/>
    </row>
    <row r="25" spans="2:17" x14ac:dyDescent="0.25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25">
      <c r="B26" s="78" t="s">
        <v>317</v>
      </c>
      <c r="C26" s="78">
        <f>SUM(C6:C25)</f>
        <v>89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25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25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3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25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4</v>
      </c>
      <c r="N29" t="s">
        <v>390</v>
      </c>
      <c r="O29">
        <f>COUNTIF(Stats!D:D,'Player Count'!N29)</f>
        <v>2</v>
      </c>
    </row>
    <row r="30" spans="2:17" x14ac:dyDescent="0.25">
      <c r="F30" s="78" t="s">
        <v>317</v>
      </c>
      <c r="G30" s="78">
        <f>SUM(G6:G29)</f>
        <v>65</v>
      </c>
      <c r="J30" s="78" t="s">
        <v>317</v>
      </c>
      <c r="K30" s="78">
        <f>SUM(K6:K29)</f>
        <v>54</v>
      </c>
      <c r="N30" s="78" t="s">
        <v>317</v>
      </c>
      <c r="O30" s="78">
        <f>SUM(O6:O29)</f>
        <v>40</v>
      </c>
    </row>
    <row r="38" spans="1:15" x14ac:dyDescent="0.25">
      <c r="A38" s="67" t="s">
        <v>423</v>
      </c>
      <c r="C38" s="114">
        <f>C26/SUM(C26,G30,K30,O30)</f>
        <v>0.3588709677419355</v>
      </c>
      <c r="D38" s="114"/>
      <c r="E38" s="114"/>
      <c r="F38" s="114"/>
      <c r="G38" s="114">
        <f>G30/SUM(C26,G30,K30,O30)</f>
        <v>0.26209677419354838</v>
      </c>
      <c r="H38" s="114"/>
      <c r="I38" s="114"/>
      <c r="J38" s="114"/>
      <c r="K38" s="114">
        <f>K30/SUM(C26,G30,K30,O30)</f>
        <v>0.21774193548387097</v>
      </c>
      <c r="L38" s="114"/>
      <c r="M38" s="114"/>
      <c r="N38" s="114"/>
      <c r="O38" s="114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Seb Bate</cp:lastModifiedBy>
  <cp:lastPrinted>2023-07-26T14:59:49Z</cp:lastPrinted>
  <dcterms:created xsi:type="dcterms:W3CDTF">2020-09-14T08:38:37Z</dcterms:created>
  <dcterms:modified xsi:type="dcterms:W3CDTF">2026-05-26T09:43:17Z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