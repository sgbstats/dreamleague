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990" documentId="8_{C787F6C9-6D19-48E2-96AB-9D578E0B907B}" xr6:coauthVersionLast="47" xr6:coauthVersionMax="47" xr10:uidLastSave="{071680D5-ED3B-489B-8637-03FDAE99F1D6}"/>
  <bookViews>
    <workbookView xWindow="-110" yWindow="-110" windowWidth="19420" windowHeight="103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<sst xmlns="http://schemas.openxmlformats.org/spreadsheetml/2006/main" count="1309" uniqueCount="533">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</sst>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opLeftCell="G1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26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30</v>
      </c>
      <c r="N5" s="19">
        <f>SUM(F8:F25)</f>
        <v>56</v>
      </c>
      <c r="O5" s="20">
        <f>SUM(F5:F7)</f>
        <v>26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20</v>
      </c>
      <c r="N6" s="26">
        <f>SUM(F35:F52)</f>
        <v>60</v>
      </c>
      <c r="O6" s="27">
        <f>SUM(F32:F34)</f>
        <v>40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31</v>
      </c>
      <c r="N7" s="26">
        <f>SUM(F62:F79)</f>
        <v>64</v>
      </c>
      <c r="O7" s="27">
        <f>SUM(F59:F61)</f>
        <v>33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27</v>
      </c>
      <c r="N8" s="26">
        <f>SUM(F89:F106)</f>
        <v>68</v>
      </c>
      <c r="O8" s="27">
        <f>SUM(F86:F88)</f>
        <v>41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2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29</v>
      </c>
      <c r="N9" s="73">
        <f>SUM(F116:F133)</f>
        <v>64</v>
      </c>
      <c r="O9" s="74">
        <f>SUM(F113:F115)</f>
        <v>35</v>
      </c>
    </row>
    <row r="10" spans="1:22" ht="13.4" customHeight="1" x14ac:dyDescent="0.3">
      <c r="A10" s="79"/>
      <c r="B10" s="106" t="s">
        <v>16</v>
      </c>
      <c r="C10" s="106" t="s">
        <v>506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29</v>
      </c>
      <c r="N10" s="26">
        <f>SUM(F143:F160)</f>
        <v>70</v>
      </c>
      <c r="O10" s="27">
        <f>SUM(F140:F142)</f>
        <v>41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3</v>
      </c>
      <c r="N11" s="26">
        <f>SUM(F170:F187)</f>
        <v>45</v>
      </c>
      <c r="O11" s="27">
        <f>SUM(F167:F169)</f>
        <v>42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-1</v>
      </c>
      <c r="N12" s="73">
        <f>SUM(F197:F214)</f>
        <v>39</v>
      </c>
      <c r="O12" s="74">
        <f>SUM(F194:F196)</f>
        <v>40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8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20</v>
      </c>
      <c r="N13" s="73">
        <f>SUM(F224:F241)</f>
        <v>70</v>
      </c>
      <c r="O13" s="74">
        <f>SUM(F221:F223)</f>
        <v>50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6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5</v>
      </c>
      <c r="N14" s="73">
        <f>SUM(F251:F268)</f>
        <v>60</v>
      </c>
      <c r="O14" s="74">
        <f>SUM(F248:F250)</f>
        <v>55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8</v>
      </c>
      <c r="N15" s="26">
        <f>SUM(F278:F295)</f>
        <v>54</v>
      </c>
      <c r="O15" s="27">
        <f>SUM(F275:F277)</f>
        <v>46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35</v>
      </c>
      <c r="N16" s="26">
        <f>SUM(F305:F322)</f>
        <v>81</v>
      </c>
      <c r="O16" s="27">
        <f>SUM(F302:F304)</f>
        <v>46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10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11</v>
      </c>
      <c r="N17" s="26">
        <f>SUM(F332:F349)</f>
        <v>47</v>
      </c>
      <c r="O17" s="27">
        <f>SUM(F329:F331)</f>
        <v>36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10</v>
      </c>
      <c r="N18" s="26">
        <f>SUM(F359:F376)</f>
        <v>49</v>
      </c>
      <c r="O18" s="27">
        <f>SUM(F356:F358)</f>
        <v>39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11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488</v>
      </c>
      <c r="D22" s="28" t="s">
        <v>18</v>
      </c>
      <c r="E22" s="29" t="s">
        <v>284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499</v>
      </c>
      <c r="D25" s="28" t="s">
        <v>74</v>
      </c>
      <c r="E25" s="29" t="s">
        <v>284</v>
      </c>
      <c r="F25" s="30">
        <v>2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30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122</v>
      </c>
      <c r="E32" s="14">
        <v>1</v>
      </c>
      <c r="F32" s="15">
        <v>40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4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9</v>
      </c>
      <c r="G38" s="83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8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190</v>
      </c>
      <c r="D40" s="28" t="s">
        <v>83</v>
      </c>
      <c r="E40" s="29">
        <v>1</v>
      </c>
      <c r="F40" s="30">
        <v>9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61</v>
      </c>
      <c r="D41" s="106" t="s">
        <v>74</v>
      </c>
      <c r="E41" s="107">
        <v>2</v>
      </c>
      <c r="F41" s="108">
        <v>0</v>
      </c>
      <c r="G41" s="87" t="s">
        <v>285</v>
      </c>
      <c r="H41" s="91">
        <v>45876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286</v>
      </c>
      <c r="D42" s="106" t="s">
        <v>70</v>
      </c>
      <c r="E42" s="107" t="s">
        <v>284</v>
      </c>
      <c r="F42" s="108">
        <v>5</v>
      </c>
      <c r="G42" s="87">
        <v>45876</v>
      </c>
      <c r="H42" s="91">
        <v>46051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522</v>
      </c>
      <c r="D43" s="28" t="s">
        <v>132</v>
      </c>
      <c r="E43" s="29" t="s">
        <v>284</v>
      </c>
      <c r="F43" s="30">
        <v>1</v>
      </c>
      <c r="G43" s="87">
        <v>46051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6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531</v>
      </c>
      <c r="D48" s="28" t="s">
        <v>532</v>
      </c>
      <c r="E48" s="29" t="s">
        <v>284</v>
      </c>
      <c r="F48" s="30">
        <v>0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523</v>
      </c>
      <c r="D51" s="28" t="s">
        <v>520</v>
      </c>
      <c r="E51" s="29" t="s">
        <v>284</v>
      </c>
      <c r="F51" s="30">
        <v>0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4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20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33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6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15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10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106" t="s">
        <v>17</v>
      </c>
      <c r="C70" s="106" t="s">
        <v>99</v>
      </c>
      <c r="D70" s="106" t="s">
        <v>20</v>
      </c>
      <c r="E70" s="107">
        <v>5</v>
      </c>
      <c r="F70" s="108">
        <v>8</v>
      </c>
      <c r="G70" s="87" t="s">
        <v>285</v>
      </c>
      <c r="H70" s="91">
        <v>46058</v>
      </c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221</v>
      </c>
      <c r="D71" s="28" t="s">
        <v>83</v>
      </c>
      <c r="E71" s="29" t="s">
        <v>284</v>
      </c>
      <c r="F71" s="30">
        <v>2</v>
      </c>
      <c r="G71" s="87">
        <v>46058</v>
      </c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6" t="s">
        <v>17</v>
      </c>
      <c r="C72" s="106" t="s">
        <v>59</v>
      </c>
      <c r="D72" s="106" t="s">
        <v>18</v>
      </c>
      <c r="E72" s="107">
        <v>7</v>
      </c>
      <c r="F72" s="108">
        <v>0</v>
      </c>
      <c r="G72" s="83" t="s">
        <v>285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405</v>
      </c>
      <c r="D73" s="28" t="s">
        <v>87</v>
      </c>
      <c r="E73" s="29" t="s">
        <v>284</v>
      </c>
      <c r="F73" s="30">
        <v>5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195</v>
      </c>
      <c r="D74" s="28" t="s">
        <v>160</v>
      </c>
      <c r="E74" s="29">
        <v>7</v>
      </c>
      <c r="F74" s="30">
        <v>5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196</v>
      </c>
      <c r="D75" s="106" t="s">
        <v>82</v>
      </c>
      <c r="E75" s="107">
        <v>1</v>
      </c>
      <c r="F75" s="108">
        <v>0</v>
      </c>
      <c r="G75" s="87" t="s">
        <v>285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106" t="s">
        <v>17</v>
      </c>
      <c r="C76" s="106" t="s">
        <v>292</v>
      </c>
      <c r="D76" s="106" t="s">
        <v>293</v>
      </c>
      <c r="E76" s="107" t="s">
        <v>284</v>
      </c>
      <c r="F76" s="108">
        <v>3</v>
      </c>
      <c r="G76" s="87">
        <v>45890</v>
      </c>
      <c r="H76" s="91">
        <v>46044</v>
      </c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28" t="s">
        <v>17</v>
      </c>
      <c r="C77" s="28" t="s">
        <v>59</v>
      </c>
      <c r="D77" s="28" t="s">
        <v>18</v>
      </c>
      <c r="E77" s="29" t="s">
        <v>284</v>
      </c>
      <c r="F77" s="30">
        <v>2</v>
      </c>
      <c r="G77" s="87">
        <v>46044</v>
      </c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197</v>
      </c>
      <c r="D78" s="106" t="s">
        <v>100</v>
      </c>
      <c r="E78" s="107">
        <v>1</v>
      </c>
      <c r="F78" s="108">
        <v>1</v>
      </c>
      <c r="G78" s="87" t="s">
        <v>285</v>
      </c>
      <c r="H78" s="91">
        <v>45946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458</v>
      </c>
      <c r="D79" s="28" t="s">
        <v>459</v>
      </c>
      <c r="E79" s="29" t="s">
        <v>284</v>
      </c>
      <c r="F79" s="30">
        <v>4</v>
      </c>
      <c r="G79" s="87">
        <v>45946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31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41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200</v>
      </c>
      <c r="D92" s="28" t="s">
        <v>22</v>
      </c>
      <c r="E92" s="29">
        <v>1</v>
      </c>
      <c r="F92" s="30">
        <v>7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65</v>
      </c>
      <c r="D93" s="106" t="s">
        <v>136</v>
      </c>
      <c r="E93" s="107">
        <v>1</v>
      </c>
      <c r="F93" s="108">
        <v>0</v>
      </c>
      <c r="G93" s="91" t="s">
        <v>285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106" t="s">
        <v>16</v>
      </c>
      <c r="C94" s="106" t="s">
        <v>489</v>
      </c>
      <c r="D94" s="106" t="s">
        <v>24</v>
      </c>
      <c r="E94" s="107" t="s">
        <v>284</v>
      </c>
      <c r="F94" s="108">
        <v>2</v>
      </c>
      <c r="G94" s="91">
        <v>45876</v>
      </c>
      <c r="H94" s="91">
        <v>46065</v>
      </c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528</v>
      </c>
      <c r="D95" s="28" t="s">
        <v>501</v>
      </c>
      <c r="E95" s="29" t="s">
        <v>284</v>
      </c>
      <c r="F95" s="30">
        <v>0</v>
      </c>
      <c r="G95" s="91">
        <v>46065</v>
      </c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16</v>
      </c>
      <c r="C96" s="28" t="s">
        <v>137</v>
      </c>
      <c r="D96" s="28" t="s">
        <v>18</v>
      </c>
      <c r="E96" s="29">
        <v>19</v>
      </c>
      <c r="F96" s="30">
        <v>5</v>
      </c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201</v>
      </c>
      <c r="D98" s="28" t="s">
        <v>33</v>
      </c>
      <c r="E98" s="29">
        <v>25</v>
      </c>
      <c r="F98" s="30">
        <v>15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154</v>
      </c>
      <c r="D99" s="106" t="s">
        <v>153</v>
      </c>
      <c r="E99" s="107">
        <v>10</v>
      </c>
      <c r="F99" s="108">
        <v>3</v>
      </c>
      <c r="G99" s="83" t="s">
        <v>285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485</v>
      </c>
      <c r="D100" s="28" t="s">
        <v>97</v>
      </c>
      <c r="E100" s="29" t="s">
        <v>284</v>
      </c>
      <c r="F100" s="30">
        <v>3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60</v>
      </c>
      <c r="D101" s="106" t="s">
        <v>148</v>
      </c>
      <c r="E101" s="107">
        <v>6</v>
      </c>
      <c r="F101" s="108">
        <v>1</v>
      </c>
      <c r="G101" s="87" t="s">
        <v>285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443</v>
      </c>
      <c r="D102" s="28" t="s">
        <v>167</v>
      </c>
      <c r="E102" s="29" t="s">
        <v>284</v>
      </c>
      <c r="F102" s="30">
        <v>15</v>
      </c>
      <c r="G102" s="87">
        <v>45918</v>
      </c>
      <c r="H102" s="91"/>
      <c r="I102" s="90">
        <v>1</v>
      </c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5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493</v>
      </c>
      <c r="D106" s="28" t="s">
        <v>179</v>
      </c>
      <c r="E106" s="29" t="s">
        <v>284</v>
      </c>
      <c r="F106" s="30">
        <v>5</v>
      </c>
      <c r="G106" s="87">
        <v>46002</v>
      </c>
      <c r="H106" s="91"/>
      <c r="I106" s="92">
        <v>1</v>
      </c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27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35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208</v>
      </c>
      <c r="D119" s="28" t="s">
        <v>82</v>
      </c>
      <c r="E119" s="29">
        <v>19</v>
      </c>
      <c r="F119" s="30">
        <v>15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7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3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28" t="s">
        <v>17</v>
      </c>
      <c r="C126" s="28" t="s">
        <v>475</v>
      </c>
      <c r="D126" s="28" t="s">
        <v>206</v>
      </c>
      <c r="E126" s="29" t="s">
        <v>284</v>
      </c>
      <c r="F126" s="30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500</v>
      </c>
      <c r="D127" s="28" t="s">
        <v>501</v>
      </c>
      <c r="E127" s="29" t="s">
        <v>284</v>
      </c>
      <c r="F127" s="30">
        <v>3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1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11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6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29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21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212</v>
      </c>
      <c r="D146" s="28" t="s">
        <v>33</v>
      </c>
      <c r="E146" s="29">
        <v>42</v>
      </c>
      <c r="F146" s="30">
        <v>7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6" t="s">
        <v>16</v>
      </c>
      <c r="C148" s="106" t="s">
        <v>101</v>
      </c>
      <c r="D148" s="106" t="s">
        <v>69</v>
      </c>
      <c r="E148" s="107">
        <v>1</v>
      </c>
      <c r="F148" s="108">
        <v>2</v>
      </c>
      <c r="G148" s="87" t="s">
        <v>285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476</v>
      </c>
      <c r="D149" s="28" t="s">
        <v>454</v>
      </c>
      <c r="E149" s="29" t="s">
        <v>284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106" t="s">
        <v>17</v>
      </c>
      <c r="C151" s="106" t="s">
        <v>150</v>
      </c>
      <c r="D151" s="106" t="s">
        <v>68</v>
      </c>
      <c r="E151" s="107">
        <v>1</v>
      </c>
      <c r="F151" s="108">
        <v>5</v>
      </c>
      <c r="G151" s="87" t="s">
        <v>285</v>
      </c>
      <c r="H151" s="91">
        <v>46030</v>
      </c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507</v>
      </c>
      <c r="D152" s="28" t="s">
        <v>84</v>
      </c>
      <c r="E152" s="29" t="s">
        <v>284</v>
      </c>
      <c r="F152" s="30">
        <v>3</v>
      </c>
      <c r="G152" s="87">
        <v>46030</v>
      </c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213</v>
      </c>
      <c r="D153" s="28" t="s">
        <v>83</v>
      </c>
      <c r="E153" s="29">
        <v>18</v>
      </c>
      <c r="F153" s="30">
        <v>10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214</v>
      </c>
      <c r="D154" s="106" t="s">
        <v>19</v>
      </c>
      <c r="E154" s="107">
        <v>3</v>
      </c>
      <c r="F154" s="108">
        <v>0</v>
      </c>
      <c r="G154" s="87" t="s">
        <v>285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478</v>
      </c>
      <c r="D155" s="106" t="s">
        <v>138</v>
      </c>
      <c r="E155" s="107" t="s">
        <v>284</v>
      </c>
      <c r="F155" s="108">
        <v>2</v>
      </c>
      <c r="G155" s="87">
        <v>45911</v>
      </c>
      <c r="H155" s="91">
        <v>45995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 t="s">
        <v>17</v>
      </c>
      <c r="C156" s="106" t="s">
        <v>487</v>
      </c>
      <c r="D156" s="106" t="s">
        <v>517</v>
      </c>
      <c r="E156" s="107" t="s">
        <v>284</v>
      </c>
      <c r="F156" s="108">
        <v>0</v>
      </c>
      <c r="G156" s="87">
        <v>45995</v>
      </c>
      <c r="H156" s="91">
        <v>46044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519</v>
      </c>
      <c r="D157" s="28" t="s">
        <v>520</v>
      </c>
      <c r="E157" s="29" t="s">
        <v>284</v>
      </c>
      <c r="F157" s="30">
        <v>1</v>
      </c>
      <c r="G157" s="87">
        <v>46044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116</v>
      </c>
      <c r="D158" s="28" t="s">
        <v>19</v>
      </c>
      <c r="E158" s="29">
        <v>25</v>
      </c>
      <c r="F158" s="30">
        <v>13</v>
      </c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131</v>
      </c>
      <c r="D159" s="106" t="s">
        <v>103</v>
      </c>
      <c r="E159" s="107">
        <v>4</v>
      </c>
      <c r="F159" s="108">
        <v>11</v>
      </c>
      <c r="G159" s="87" t="s">
        <v>285</v>
      </c>
      <c r="H159" s="91">
        <v>46065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529</v>
      </c>
      <c r="D160" s="28" t="s">
        <v>20</v>
      </c>
      <c r="E160" s="29" t="s">
        <v>284</v>
      </c>
      <c r="F160" s="30">
        <v>1</v>
      </c>
      <c r="G160" s="87">
        <v>46065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29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28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9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3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502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503</v>
      </c>
      <c r="D181" s="28" t="s">
        <v>148</v>
      </c>
      <c r="E181" s="29" t="s">
        <v>284</v>
      </c>
      <c r="F181" s="30">
        <v>3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7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3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3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40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7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4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2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483</v>
      </c>
      <c r="E206" s="29">
        <v>1</v>
      </c>
      <c r="F206" s="30">
        <v>10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7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276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-1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17</v>
      </c>
      <c r="G223" s="86">
        <v>46016</v>
      </c>
      <c r="H223" s="92"/>
      <c r="I223" s="93">
        <v>3</v>
      </c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6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477</v>
      </c>
      <c r="D232" s="28" t="s">
        <v>85</v>
      </c>
      <c r="E232" s="29" t="s">
        <v>284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220</v>
      </c>
      <c r="D233" s="28" t="s">
        <v>18</v>
      </c>
      <c r="E233" s="29">
        <v>36</v>
      </c>
      <c r="F233" s="30">
        <v>13</v>
      </c>
      <c r="G233" s="87"/>
      <c r="H233" s="91"/>
      <c r="I233" s="89">
        <v>2</v>
      </c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147</v>
      </c>
      <c r="D234" s="28" t="s">
        <v>138</v>
      </c>
      <c r="E234" s="29">
        <v>20</v>
      </c>
      <c r="F234" s="30">
        <v>14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152</v>
      </c>
      <c r="D235" s="28" t="s">
        <v>241</v>
      </c>
      <c r="E235" s="29">
        <v>8</v>
      </c>
      <c r="F235" s="30">
        <v>7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6" t="s">
        <v>17</v>
      </c>
      <c r="C236" s="106" t="s">
        <v>221</v>
      </c>
      <c r="D236" s="106" t="s">
        <v>103</v>
      </c>
      <c r="E236" s="107">
        <v>15</v>
      </c>
      <c r="F236" s="108">
        <v>3</v>
      </c>
      <c r="G236" s="87" t="s">
        <v>285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498</v>
      </c>
      <c r="D237" s="28" t="s">
        <v>95</v>
      </c>
      <c r="E237" s="29" t="s">
        <v>284</v>
      </c>
      <c r="F237" s="30">
        <v>6</v>
      </c>
      <c r="G237" s="87">
        <v>46016</v>
      </c>
      <c r="H237" s="91"/>
      <c r="I237" s="89">
        <v>1</v>
      </c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6" t="s">
        <v>17</v>
      </c>
      <c r="C238" s="106" t="s">
        <v>266</v>
      </c>
      <c r="D238" s="106" t="s">
        <v>158</v>
      </c>
      <c r="E238" s="107">
        <v>1</v>
      </c>
      <c r="F238" s="108">
        <v>0</v>
      </c>
      <c r="G238" s="87" t="s">
        <v>285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426</v>
      </c>
      <c r="D239" s="28" t="s">
        <v>68</v>
      </c>
      <c r="E239" s="29" t="s">
        <v>284</v>
      </c>
      <c r="F239" s="30">
        <v>12</v>
      </c>
      <c r="G239" s="87">
        <v>45911</v>
      </c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20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508</v>
      </c>
      <c r="E250" s="22" t="s">
        <v>284</v>
      </c>
      <c r="F250" s="21">
        <v>4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157</v>
      </c>
      <c r="D254" s="28" t="s">
        <v>215</v>
      </c>
      <c r="E254" s="29">
        <v>1</v>
      </c>
      <c r="F254" s="30">
        <v>8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130</v>
      </c>
      <c r="D255" s="106" t="s">
        <v>24</v>
      </c>
      <c r="E255" s="107">
        <v>2</v>
      </c>
      <c r="F255" s="108">
        <v>0</v>
      </c>
      <c r="G255" s="91" t="s">
        <v>285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6" t="s">
        <v>16</v>
      </c>
      <c r="C256" s="106" t="s">
        <v>294</v>
      </c>
      <c r="D256" s="106" t="s">
        <v>288</v>
      </c>
      <c r="E256" s="107" t="s">
        <v>284</v>
      </c>
      <c r="F256" s="108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504</v>
      </c>
      <c r="D257" s="28" t="s">
        <v>505</v>
      </c>
      <c r="E257" s="29" t="s">
        <v>284</v>
      </c>
      <c r="F257" s="30">
        <v>1</v>
      </c>
      <c r="G257" s="87">
        <v>46030</v>
      </c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224</v>
      </c>
      <c r="D258" s="28" t="s">
        <v>22</v>
      </c>
      <c r="E258" s="29">
        <v>3</v>
      </c>
      <c r="F258" s="30">
        <v>9</v>
      </c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225</v>
      </c>
      <c r="D260" s="28" t="s">
        <v>118</v>
      </c>
      <c r="E260" s="29">
        <v>20</v>
      </c>
      <c r="F260" s="30">
        <v>3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8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6" t="s">
        <v>17</v>
      </c>
      <c r="C262" s="106" t="s">
        <v>106</v>
      </c>
      <c r="D262" s="106" t="s">
        <v>24</v>
      </c>
      <c r="E262" s="107">
        <v>16</v>
      </c>
      <c r="F262" s="108">
        <v>0</v>
      </c>
      <c r="G262" s="87" t="s">
        <v>285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460</v>
      </c>
      <c r="D263" s="28" t="s">
        <v>170</v>
      </c>
      <c r="E263" s="29" t="s">
        <v>284</v>
      </c>
      <c r="F263" s="30">
        <v>9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 t="s">
        <v>17</v>
      </c>
      <c r="C264" s="106" t="s">
        <v>139</v>
      </c>
      <c r="D264" s="106" t="s">
        <v>84</v>
      </c>
      <c r="E264" s="107">
        <v>14</v>
      </c>
      <c r="F264" s="108">
        <v>0</v>
      </c>
      <c r="G264" s="87" t="s">
        <v>285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474</v>
      </c>
      <c r="D265" s="28" t="s">
        <v>23</v>
      </c>
      <c r="E265" s="29" t="s">
        <v>284</v>
      </c>
      <c r="F265" s="30">
        <v>12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141</v>
      </c>
      <c r="D266" s="106" t="s">
        <v>288</v>
      </c>
      <c r="E266" s="107">
        <v>14</v>
      </c>
      <c r="F266" s="108">
        <v>0</v>
      </c>
      <c r="G266" s="83" t="s">
        <v>285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406</v>
      </c>
      <c r="D267" s="106" t="s">
        <v>73</v>
      </c>
      <c r="E267" s="107" t="s">
        <v>284</v>
      </c>
      <c r="F267" s="108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494</v>
      </c>
      <c r="D268" s="28" t="s">
        <v>495</v>
      </c>
      <c r="E268" s="29" t="s">
        <v>284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5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19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6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13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9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8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26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179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6" t="s">
        <v>16</v>
      </c>
      <c r="C308" s="106" t="s">
        <v>174</v>
      </c>
      <c r="D308" s="106" t="s">
        <v>121</v>
      </c>
      <c r="E308" s="107">
        <v>4</v>
      </c>
      <c r="F308" s="108">
        <v>4</v>
      </c>
      <c r="G308" s="87" t="s">
        <v>285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492</v>
      </c>
      <c r="D309" s="28" t="s">
        <v>64</v>
      </c>
      <c r="E309" s="29" t="s">
        <v>284</v>
      </c>
      <c r="F309" s="30">
        <v>4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6" t="s">
        <v>16</v>
      </c>
      <c r="C310" s="106" t="s">
        <v>163</v>
      </c>
      <c r="D310" s="106" t="s">
        <v>68</v>
      </c>
      <c r="E310" s="107">
        <v>1</v>
      </c>
      <c r="F310" s="108">
        <v>1</v>
      </c>
      <c r="G310" s="87" t="s">
        <v>285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172</v>
      </c>
      <c r="D311" s="28" t="s">
        <v>26</v>
      </c>
      <c r="E311" s="29" t="s">
        <v>284</v>
      </c>
      <c r="F311" s="30">
        <v>10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6" t="s">
        <v>16</v>
      </c>
      <c r="C312" s="106" t="s">
        <v>102</v>
      </c>
      <c r="D312" s="106" t="s">
        <v>132</v>
      </c>
      <c r="E312" s="107">
        <v>9</v>
      </c>
      <c r="F312" s="108">
        <v>0</v>
      </c>
      <c r="G312" s="83" t="s">
        <v>285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518</v>
      </c>
      <c r="D313" s="28" t="s">
        <v>86</v>
      </c>
      <c r="E313" s="29" t="s">
        <v>284</v>
      </c>
      <c r="F313" s="30">
        <v>3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71</v>
      </c>
      <c r="D314" s="28" t="s">
        <v>22</v>
      </c>
      <c r="E314" s="29">
        <v>54</v>
      </c>
      <c r="F314" s="30">
        <v>29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106" t="s">
        <v>17</v>
      </c>
      <c r="C315" s="106" t="s">
        <v>236</v>
      </c>
      <c r="D315" s="106" t="s">
        <v>122</v>
      </c>
      <c r="E315" s="107">
        <v>8</v>
      </c>
      <c r="F315" s="108">
        <v>1</v>
      </c>
      <c r="G315" s="87" t="s">
        <v>285</v>
      </c>
      <c r="H315" s="91">
        <v>45939</v>
      </c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455</v>
      </c>
      <c r="D316" s="28" t="s">
        <v>85</v>
      </c>
      <c r="E316" s="29" t="s">
        <v>284</v>
      </c>
      <c r="F316" s="30">
        <v>1</v>
      </c>
      <c r="G316" s="87">
        <v>45939</v>
      </c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237</v>
      </c>
      <c r="D317" s="28" t="s">
        <v>120</v>
      </c>
      <c r="E317" s="29">
        <v>1</v>
      </c>
      <c r="F317" s="30">
        <v>13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521</v>
      </c>
      <c r="D320" s="28" t="s">
        <v>80</v>
      </c>
      <c r="E320" s="29" t="s">
        <v>284</v>
      </c>
      <c r="F320" s="30">
        <v>2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11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35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36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486</v>
      </c>
      <c r="D336" s="28" t="s">
        <v>19</v>
      </c>
      <c r="E336" s="29" t="s">
        <v>284</v>
      </c>
      <c r="F336" s="30">
        <v>2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180</v>
      </c>
      <c r="D337" s="28" t="s">
        <v>160</v>
      </c>
      <c r="E337" s="29">
        <v>1</v>
      </c>
      <c r="F337" s="30">
        <v>2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279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242</v>
      </c>
      <c r="D341" s="28" t="s">
        <v>206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142</v>
      </c>
      <c r="D342" s="28" t="s">
        <v>82</v>
      </c>
      <c r="E342" s="29">
        <v>1</v>
      </c>
      <c r="F342" s="30">
        <v>9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127</v>
      </c>
      <c r="D343" s="28" t="s">
        <v>121</v>
      </c>
      <c r="E343" s="29">
        <v>1</v>
      </c>
      <c r="F343" s="30">
        <v>3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280</v>
      </c>
      <c r="D344" s="28" t="s">
        <v>132</v>
      </c>
      <c r="E344" s="29">
        <v>1</v>
      </c>
      <c r="F344" s="30">
        <v>10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6" t="s">
        <v>17</v>
      </c>
      <c r="C345" s="106" t="s">
        <v>281</v>
      </c>
      <c r="D345" s="106" t="s">
        <v>84</v>
      </c>
      <c r="E345" s="107">
        <v>1</v>
      </c>
      <c r="F345" s="108">
        <v>0</v>
      </c>
      <c r="G345" s="87" t="s">
        <v>285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456</v>
      </c>
      <c r="D346" s="28" t="s">
        <v>177</v>
      </c>
      <c r="E346" s="29" t="s">
        <v>284</v>
      </c>
      <c r="F346" s="30">
        <v>12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11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39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247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6" t="s">
        <v>16</v>
      </c>
      <c r="C363" s="106" t="s">
        <v>248</v>
      </c>
      <c r="D363" s="106" t="s">
        <v>56</v>
      </c>
      <c r="E363" s="107">
        <v>4</v>
      </c>
      <c r="F363" s="108">
        <v>1</v>
      </c>
      <c r="G363" s="1" t="s">
        <v>285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484</v>
      </c>
      <c r="D364" s="28" t="s">
        <v>18</v>
      </c>
      <c r="E364" s="29" t="s">
        <v>284</v>
      </c>
      <c r="F364" s="30">
        <v>3</v>
      </c>
      <c r="G364" s="103">
        <v>45988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3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114</v>
      </c>
      <c r="E368" s="29">
        <v>27</v>
      </c>
      <c r="F368" s="30">
        <v>5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12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497</v>
      </c>
      <c r="D372" s="28" t="s">
        <v>288</v>
      </c>
      <c r="E372" s="29" t="s">
        <v>284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6" t="s">
        <v>17</v>
      </c>
      <c r="C373" s="106" t="s">
        <v>145</v>
      </c>
      <c r="D373" s="106" t="s">
        <v>83</v>
      </c>
      <c r="E373" s="107">
        <v>1</v>
      </c>
      <c r="F373" s="108">
        <v>0</v>
      </c>
      <c r="G373" s="103" t="s">
        <v>285</v>
      </c>
      <c r="H373" s="103">
        <v>45890</v>
      </c>
      <c r="I373" s="1"/>
      <c r="J373" s="1"/>
    </row>
    <row r="374" spans="2:10" ht="13.4" customHeight="1" x14ac:dyDescent="0.3">
      <c r="B374" s="106" t="s">
        <v>17</v>
      </c>
      <c r="C374" s="106" t="s">
        <v>401</v>
      </c>
      <c r="D374" s="106" t="s">
        <v>158</v>
      </c>
      <c r="E374" s="107" t="s">
        <v>284</v>
      </c>
      <c r="F374" s="108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457</v>
      </c>
      <c r="D375" s="28" t="s">
        <v>97</v>
      </c>
      <c r="E375" s="29" t="s">
        <v>284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10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4" workbookViewId="0">
      <selection activeCell="I6" sqref="I6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24" t="s">
        <v>233</v>
      </c>
      <c r="E7" s="25">
        <v>35</v>
      </c>
      <c r="F7" s="26">
        <v>81</v>
      </c>
      <c r="G7" s="27">
        <v>46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25</v>
      </c>
      <c r="D8" s="55" t="s">
        <v>198</v>
      </c>
      <c r="E8" s="25">
        <v>31</v>
      </c>
      <c r="F8" s="26">
        <v>64</v>
      </c>
      <c r="G8" s="27">
        <v>33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</v>
      </c>
      <c r="D9" s="24" t="s">
        <v>1</v>
      </c>
      <c r="E9" s="25">
        <v>30</v>
      </c>
      <c r="F9" s="26">
        <v>56</v>
      </c>
      <c r="G9" s="27">
        <v>26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32</v>
      </c>
      <c r="D10" s="24" t="s">
        <v>31</v>
      </c>
      <c r="E10" s="25">
        <v>29</v>
      </c>
      <c r="F10" s="26">
        <v>70</v>
      </c>
      <c r="G10" s="27">
        <v>41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51</v>
      </c>
      <c r="D11" s="55" t="s">
        <v>203</v>
      </c>
      <c r="E11" s="25">
        <v>29</v>
      </c>
      <c r="F11" s="26">
        <v>64</v>
      </c>
      <c r="G11" s="27">
        <v>35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27</v>
      </c>
      <c r="D12" s="24" t="s">
        <v>15</v>
      </c>
      <c r="E12" s="25">
        <v>27</v>
      </c>
      <c r="F12" s="26">
        <v>68</v>
      </c>
      <c r="G12" s="27">
        <v>41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54</v>
      </c>
      <c r="D13" s="55" t="s">
        <v>267</v>
      </c>
      <c r="E13" s="25">
        <v>20</v>
      </c>
      <c r="F13" s="56">
        <v>70</v>
      </c>
      <c r="G13" s="57">
        <v>50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21</v>
      </c>
      <c r="D14" s="24" t="s">
        <v>188</v>
      </c>
      <c r="E14" s="25">
        <v>20</v>
      </c>
      <c r="F14" s="26">
        <v>60</v>
      </c>
      <c r="G14" s="27">
        <v>40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66</v>
      </c>
      <c r="D15" s="24" t="s">
        <v>243</v>
      </c>
      <c r="E15" s="25">
        <v>11</v>
      </c>
      <c r="F15" s="26">
        <v>47</v>
      </c>
      <c r="G15" s="27">
        <v>36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244</v>
      </c>
      <c r="D16" s="55" t="s">
        <v>245</v>
      </c>
      <c r="E16" s="25">
        <v>10</v>
      </c>
      <c r="F16" s="26">
        <v>49</v>
      </c>
      <c r="G16" s="27">
        <v>39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117</v>
      </c>
      <c r="D17" s="55" t="s">
        <v>140</v>
      </c>
      <c r="E17" s="25">
        <v>8</v>
      </c>
      <c r="F17" s="56">
        <v>54</v>
      </c>
      <c r="G17" s="57">
        <v>46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55</v>
      </c>
      <c r="D18" s="55" t="s">
        <v>222</v>
      </c>
      <c r="E18" s="25">
        <v>5</v>
      </c>
      <c r="F18" s="56">
        <v>60</v>
      </c>
      <c r="G18" s="57">
        <v>55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35</v>
      </c>
      <c r="D19" s="24" t="s">
        <v>34</v>
      </c>
      <c r="E19" s="25">
        <v>3</v>
      </c>
      <c r="F19" s="26">
        <v>45</v>
      </c>
      <c r="G19" s="27">
        <v>42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24" t="s">
        <v>53</v>
      </c>
      <c r="E20" s="25">
        <v>-1</v>
      </c>
      <c r="F20" s="26">
        <v>39</v>
      </c>
      <c r="G20" s="27">
        <v>40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I17" sqref="I17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509</v>
      </c>
      <c r="J4" s="38" t="s">
        <v>510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524</v>
      </c>
      <c r="E5" s="68" t="s">
        <v>267</v>
      </c>
      <c r="F5" s="64">
        <v>3</v>
      </c>
      <c r="G5" s="64" t="s">
        <v>524</v>
      </c>
      <c r="I5" s="38" t="s">
        <v>511</v>
      </c>
      <c r="J5" s="38" t="s">
        <v>512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526</v>
      </c>
      <c r="I6" s="38" t="s">
        <v>513</v>
      </c>
      <c r="J6" s="38" t="s">
        <v>514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525</v>
      </c>
      <c r="I7" s="38" t="s">
        <v>40</v>
      </c>
      <c r="J7" s="38" t="s">
        <v>515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516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527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8"/>
      <c r="D15" s="64"/>
      <c r="E15" s="65" t="s">
        <v>222</v>
      </c>
      <c r="F15" s="68"/>
      <c r="G15" s="64"/>
    </row>
    <row r="16" spans="1:10" ht="13.5" customHeight="1" x14ac:dyDescent="0.3">
      <c r="A16" s="67" t="s">
        <v>50</v>
      </c>
      <c r="B16" s="65" t="s">
        <v>15</v>
      </c>
      <c r="C16" s="68"/>
      <c r="D16" s="64"/>
      <c r="E16" s="65" t="s">
        <v>530</v>
      </c>
      <c r="F16" s="68"/>
      <c r="G16" s="64"/>
    </row>
    <row r="17" spans="1:11" ht="13.5" customHeight="1" x14ac:dyDescent="0.3">
      <c r="A17" s="67" t="s">
        <v>63</v>
      </c>
      <c r="B17" s="65" t="s">
        <v>243</v>
      </c>
      <c r="C17" s="68"/>
      <c r="D17" s="64"/>
      <c r="E17" s="65" t="s">
        <v>31</v>
      </c>
      <c r="F17" s="68"/>
      <c r="G17" s="64"/>
    </row>
    <row r="18" spans="1:11" ht="13.5" customHeight="1" x14ac:dyDescent="0.3">
      <c r="A18" s="67" t="s">
        <v>76</v>
      </c>
      <c r="B18" s="65" t="s">
        <v>1</v>
      </c>
      <c r="C18" s="68"/>
      <c r="D18" s="64"/>
      <c r="E18" s="65" t="s">
        <v>198</v>
      </c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110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24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491</v>
      </c>
      <c r="E36" s="65" t="s">
        <v>233</v>
      </c>
      <c r="F36" s="64">
        <v>4</v>
      </c>
      <c r="G36" s="64" t="s">
        <v>490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496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2</v>
      </c>
      <c r="J6" s="67" t="s">
        <v>362</v>
      </c>
      <c r="K6">
        <f>COUNTIF(Stats!D:D,'Player Count'!J6)</f>
        <v>1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0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1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0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3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2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6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8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1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5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1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1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3</v>
      </c>
      <c r="Q24" s="109"/>
    </row>
    <row r="25" spans="2:17" x14ac:dyDescent="0.3">
      <c r="B25" t="s">
        <v>315</v>
      </c>
      <c r="C25">
        <f>COUNTIF(Stats!D:D,'Player Count'!B25)</f>
        <v>2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85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4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2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5</v>
      </c>
      <c r="J29" s="67" t="s">
        <v>367</v>
      </c>
      <c r="K29">
        <f>COUNTIF(Stats!D:D,'Player Count'!J29)</f>
        <v>2</v>
      </c>
      <c r="N29" t="s">
        <v>390</v>
      </c>
      <c r="O29">
        <f>COUNTIF(Stats!D:D,'Player Count'!N29)</f>
        <v>3</v>
      </c>
    </row>
    <row r="30" spans="2:17" x14ac:dyDescent="0.3">
      <c r="F30" s="78" t="s">
        <v>317</v>
      </c>
      <c r="G30" s="78">
        <f>SUM(G6:G29)</f>
        <v>62</v>
      </c>
      <c r="J30" s="78" t="s">
        <v>317</v>
      </c>
      <c r="K30" s="78">
        <f>SUM(K6:K29)</f>
        <v>43</v>
      </c>
      <c r="N30" s="78" t="s">
        <v>317</v>
      </c>
      <c r="O30" s="78">
        <f>SUM(O6:O29)</f>
        <v>37</v>
      </c>
    </row>
    <row r="38" spans="1:15" x14ac:dyDescent="0.3">
      <c r="A38" s="67" t="s">
        <v>423</v>
      </c>
      <c r="C38" s="114">
        <f>C26/SUM(C26,G30,K30,O30)</f>
        <v>0.37444933920704848</v>
      </c>
      <c r="D38" s="114"/>
      <c r="E38" s="114"/>
      <c r="F38" s="114"/>
      <c r="G38" s="114">
        <f>G30/SUM(C26,G30,K30,O30)</f>
        <v>0.27312775330396477</v>
      </c>
      <c r="H38" s="114"/>
      <c r="I38" s="114"/>
      <c r="J38" s="114"/>
      <c r="K38" s="114">
        <f>K30/SUM(C26,G30,K30,O30)</f>
        <v>0.1894273127753304</v>
      </c>
      <c r="L38" s="114"/>
      <c r="M38" s="114"/>
      <c r="N38" s="114"/>
      <c r="O38" s="114">
        <f>O30/SUM(C26,G30,K30,O30)</f>
        <v>0.16299559471365638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2026-02-16T16:51:39Z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